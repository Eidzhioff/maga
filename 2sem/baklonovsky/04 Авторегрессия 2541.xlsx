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okoriDynasty\Desktop\Uni\maga\2sem\baklonovsky\"/>
    </mc:Choice>
  </mc:AlternateContent>
  <xr:revisionPtr revIDLastSave="0" documentId="13_ncr:1_{BEAC85BC-37C3-46F6-B0BE-37FCB525F13F}" xr6:coauthVersionLast="36" xr6:coauthVersionMax="47" xr10:uidLastSave="{00000000-0000-0000-0000-000000000000}"/>
  <bookViews>
    <workbookView xWindow="0" yWindow="660" windowWidth="29040" windowHeight="17115" activeTab="3" xr2:uid="{00000000-000D-0000-FFFF-FFFF00000000}"/>
  </bookViews>
  <sheets>
    <sheet name="Задание" sheetId="4" r:id="rId1"/>
    <sheet name="AR" sheetId="6" r:id="rId2"/>
    <sheet name="Refl_R" sheetId="8" r:id="rId3"/>
    <sheet name="Итого" sheetId="12" r:id="rId4"/>
    <sheet name="Модель" sheetId="9" r:id="rId5"/>
    <sheet name="Рисунки" sheetId="10" r:id="rId6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AR!$K$10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" i="12" l="1"/>
  <c r="W10" i="12"/>
  <c r="W11" i="12"/>
  <c r="W12" i="12"/>
  <c r="W13" i="12"/>
  <c r="W14" i="12"/>
  <c r="W15" i="12"/>
  <c r="W16" i="12"/>
  <c r="W17" i="12"/>
  <c r="W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8" i="12"/>
  <c r="O9" i="12"/>
  <c r="O10" i="12"/>
  <c r="O11" i="12"/>
  <c r="O12" i="12"/>
  <c r="O13" i="12"/>
  <c r="O14" i="12"/>
  <c r="O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8" i="12"/>
  <c r="J9" i="12"/>
  <c r="J10" i="12"/>
  <c r="J11" i="12"/>
  <c r="J12" i="12"/>
  <c r="J13" i="12"/>
  <c r="J14" i="12"/>
  <c r="J15" i="12"/>
  <c r="J16" i="12"/>
  <c r="J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8" i="12"/>
  <c r="F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8" i="12"/>
  <c r="W41" i="12" l="1"/>
  <c r="W32" i="12"/>
  <c r="W30" i="12"/>
  <c r="W21" i="12"/>
  <c r="W31" i="12"/>
  <c r="W19" i="12"/>
  <c r="W20" i="12"/>
  <c r="W18" i="12"/>
  <c r="W29" i="12"/>
  <c r="W40" i="12"/>
  <c r="W28" i="12"/>
  <c r="W39" i="12"/>
  <c r="W27" i="12"/>
  <c r="W38" i="12"/>
  <c r="W26" i="12"/>
  <c r="W37" i="12"/>
  <c r="W25" i="12"/>
  <c r="W36" i="12"/>
  <c r="W24" i="12"/>
  <c r="W35" i="12"/>
  <c r="W23" i="12"/>
  <c r="W34" i="12"/>
  <c r="W22" i="12"/>
  <c r="W33" i="12"/>
  <c r="S32" i="12"/>
  <c r="S30" i="12"/>
  <c r="S31" i="12"/>
  <c r="S33" i="12"/>
  <c r="S41" i="12"/>
  <c r="S29" i="12"/>
  <c r="S40" i="12"/>
  <c r="S28" i="12"/>
  <c r="S39" i="12"/>
  <c r="S27" i="12"/>
  <c r="S38" i="12"/>
  <c r="S26" i="12"/>
  <c r="S37" i="12"/>
  <c r="S25" i="12"/>
  <c r="S36" i="12"/>
  <c r="S35" i="12"/>
  <c r="S34" i="12"/>
  <c r="O21" i="12"/>
  <c r="O32" i="12"/>
  <c r="O20" i="12"/>
  <c r="O31" i="12"/>
  <c r="O19" i="12"/>
  <c r="O30" i="12"/>
  <c r="O18" i="12"/>
  <c r="O29" i="12"/>
  <c r="O17" i="12"/>
  <c r="O28" i="12"/>
  <c r="O16" i="12"/>
  <c r="O27" i="12"/>
  <c r="O15" i="12"/>
  <c r="O38" i="12"/>
  <c r="O26" i="12"/>
  <c r="O37" i="12"/>
  <c r="O25" i="12"/>
  <c r="O36" i="12"/>
  <c r="O24" i="12"/>
  <c r="O35" i="12"/>
  <c r="O23" i="12"/>
  <c r="O34" i="12"/>
  <c r="O22" i="12"/>
  <c r="O33" i="12"/>
  <c r="J31" i="12"/>
  <c r="J17" i="12"/>
  <c r="J21" i="12"/>
  <c r="J32" i="12"/>
  <c r="J20" i="12"/>
  <c r="J19" i="12"/>
  <c r="J30" i="12"/>
  <c r="J18" i="12"/>
  <c r="J40" i="12"/>
  <c r="J28" i="12"/>
  <c r="J39" i="12"/>
  <c r="J27" i="12"/>
  <c r="J38" i="12"/>
  <c r="J26" i="12"/>
  <c r="J37" i="12"/>
  <c r="J25" i="12"/>
  <c r="J36" i="12"/>
  <c r="J24" i="12"/>
  <c r="J35" i="12"/>
  <c r="J23" i="12"/>
  <c r="J29" i="12"/>
  <c r="J34" i="12"/>
  <c r="J22" i="12"/>
  <c r="J33" i="12"/>
  <c r="AB8" i="12" l="1"/>
  <c r="AB7" i="12"/>
  <c r="AB6" i="12"/>
  <c r="AB5" i="12"/>
  <c r="R7" i="12" l="1"/>
  <c r="V7" i="12" l="1"/>
  <c r="W7" i="12" s="1"/>
  <c r="S7" i="12"/>
  <c r="N7" i="12"/>
  <c r="O7" i="12" s="1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E7" i="12"/>
  <c r="D7" i="12"/>
  <c r="I7" i="12" s="1"/>
  <c r="J7" i="12" s="1"/>
  <c r="I3" i="9"/>
  <c r="I17" i="8"/>
  <c r="I8" i="8"/>
  <c r="I9" i="8"/>
  <c r="I10" i="8"/>
  <c r="I11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8" i="8"/>
  <c r="E9" i="8"/>
  <c r="E7" i="8"/>
  <c r="D8" i="8"/>
  <c r="D9" i="8"/>
  <c r="I12" i="8" s="1"/>
  <c r="D10" i="8"/>
  <c r="I13" i="8" s="1"/>
  <c r="D11" i="8"/>
  <c r="I14" i="8" s="1"/>
  <c r="D12" i="8"/>
  <c r="I15" i="8" s="1"/>
  <c r="D13" i="8"/>
  <c r="I16" i="8" s="1"/>
  <c r="D14" i="8"/>
  <c r="D15" i="8"/>
  <c r="I18" i="8" s="1"/>
  <c r="D16" i="8"/>
  <c r="D17" i="8"/>
  <c r="I20" i="8" s="1"/>
  <c r="D18" i="8"/>
  <c r="D19" i="8"/>
  <c r="I22" i="8" s="1"/>
  <c r="D20" i="8"/>
  <c r="D21" i="8"/>
  <c r="I24" i="8" s="1"/>
  <c r="D22" i="8"/>
  <c r="I25" i="8" s="1"/>
  <c r="D23" i="8"/>
  <c r="D24" i="8"/>
  <c r="D25" i="8"/>
  <c r="I28" i="8" s="1"/>
  <c r="D26" i="8"/>
  <c r="D27" i="8"/>
  <c r="I30" i="8" s="1"/>
  <c r="D28" i="8"/>
  <c r="I31" i="8" s="1"/>
  <c r="D29" i="8"/>
  <c r="D30" i="8"/>
  <c r="D31" i="8"/>
  <c r="D7" i="8"/>
  <c r="I7" i="8" s="1"/>
  <c r="J7" i="8" s="1"/>
  <c r="N9" i="6"/>
  <c r="O9" i="6"/>
  <c r="M9" i="6"/>
  <c r="L9" i="6"/>
  <c r="E34" i="6"/>
  <c r="E35" i="6"/>
  <c r="E36" i="6"/>
  <c r="E37" i="6"/>
  <c r="E38" i="6"/>
  <c r="E39" i="6"/>
  <c r="E40" i="6"/>
  <c r="E41" i="6"/>
  <c r="E11" i="6"/>
  <c r="F8" i="6" s="1" a="1"/>
  <c r="F8" i="6" s="1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8" i="6"/>
  <c r="E9" i="6"/>
  <c r="E10" i="6"/>
  <c r="E7" i="6"/>
  <c r="F32" i="12" l="1"/>
  <c r="F19" i="12"/>
  <c r="F25" i="12"/>
  <c r="F28" i="12"/>
  <c r="F16" i="12"/>
  <c r="F27" i="12"/>
  <c r="F15" i="12"/>
  <c r="F10" i="12"/>
  <c r="F31" i="12"/>
  <c r="F20" i="12"/>
  <c r="F12" i="12"/>
  <c r="F26" i="12"/>
  <c r="F29" i="12"/>
  <c r="F13" i="12"/>
  <c r="F17" i="12"/>
  <c r="F24" i="12"/>
  <c r="F18" i="12"/>
  <c r="F23" i="12"/>
  <c r="F11" i="12"/>
  <c r="F22" i="12"/>
  <c r="F21" i="12"/>
  <c r="F30" i="12"/>
  <c r="F9" i="12"/>
  <c r="F14" i="12"/>
  <c r="I29" i="8"/>
  <c r="I27" i="8"/>
  <c r="I19" i="8"/>
  <c r="I26" i="8"/>
  <c r="I23" i="8"/>
  <c r="I21" i="8"/>
  <c r="F7" i="12"/>
  <c r="F8" i="8" a="1"/>
  <c r="F8" i="8" s="1"/>
  <c r="J8" i="8" a="1"/>
  <c r="J8" i="8" s="1"/>
  <c r="J10" i="8" a="1"/>
  <c r="J10" i="8" s="1"/>
  <c r="J9" i="8" a="1"/>
  <c r="J9" i="8" s="1"/>
  <c r="J12" i="8" a="1"/>
  <c r="J12" i="8" s="1"/>
  <c r="J16" i="8" a="1"/>
  <c r="J16" i="8" s="1"/>
  <c r="J14" i="8" a="1"/>
  <c r="J14" i="8" s="1"/>
  <c r="J15" i="8" a="1"/>
  <c r="J15" i="8" s="1"/>
  <c r="J13" i="8" a="1"/>
  <c r="J13" i="8" s="1"/>
  <c r="J17" i="8" a="1"/>
  <c r="J17" i="8" s="1"/>
  <c r="J11" i="8" a="1"/>
  <c r="J11" i="8" s="1"/>
  <c r="F9" i="8" a="1"/>
  <c r="F9" i="8" s="1"/>
  <c r="F27" i="8" a="1"/>
  <c r="F27" i="8" s="1"/>
  <c r="F23" i="8" a="1"/>
  <c r="F23" i="8" s="1"/>
  <c r="F13" i="8" a="1"/>
  <c r="F13" i="8" s="1"/>
  <c r="F31" i="8" a="1"/>
  <c r="F31" i="8" s="1"/>
  <c r="F26" i="8" a="1"/>
  <c r="F26" i="8" s="1"/>
  <c r="F21" i="8" a="1"/>
  <c r="F21" i="8" s="1"/>
  <c r="F16" i="8" a="1"/>
  <c r="F16" i="8" s="1"/>
  <c r="F11" i="8" a="1"/>
  <c r="F11" i="8" s="1"/>
  <c r="F17" i="8" a="1"/>
  <c r="F17" i="8" s="1"/>
  <c r="F28" i="8" a="1"/>
  <c r="F28" i="8" s="1"/>
  <c r="F18" i="8" a="1"/>
  <c r="F18" i="8" s="1"/>
  <c r="F22" i="8" a="1"/>
  <c r="F22" i="8" s="1"/>
  <c r="F30" i="8" a="1"/>
  <c r="F30" i="8" s="1"/>
  <c r="F25" i="8" a="1"/>
  <c r="F25" i="8" s="1"/>
  <c r="F20" i="8" a="1"/>
  <c r="F20" i="8" s="1"/>
  <c r="F15" i="8" a="1"/>
  <c r="F15" i="8" s="1"/>
  <c r="F10" i="8" a="1"/>
  <c r="F10" i="8" s="1"/>
  <c r="F12" i="8" a="1"/>
  <c r="F12" i="8" s="1"/>
  <c r="F29" i="8" a="1"/>
  <c r="F29" i="8" s="1"/>
  <c r="F24" i="8" a="1"/>
  <c r="F24" i="8" s="1"/>
  <c r="F19" i="8" a="1"/>
  <c r="F19" i="8" s="1"/>
  <c r="F14" i="8" a="1"/>
  <c r="F14" i="8" s="1"/>
  <c r="F7" i="8"/>
  <c r="O4" i="6" a="1"/>
  <c r="O4" i="6" s="1"/>
  <c r="O10" i="6" s="1"/>
  <c r="N4" i="6" a="1"/>
  <c r="N4" i="6" s="1"/>
  <c r="N10" i="6" s="1"/>
  <c r="F24" i="6" a="1"/>
  <c r="F24" i="6" s="1"/>
  <c r="F10" i="6" a="1"/>
  <c r="F10" i="6" s="1"/>
  <c r="F23" i="6" a="1"/>
  <c r="F23" i="6" s="1"/>
  <c r="F34" i="6" a="1"/>
  <c r="F34" i="6" s="1"/>
  <c r="I34" i="6" s="1"/>
  <c r="F38" i="6" a="1"/>
  <c r="F38" i="6" s="1"/>
  <c r="F28" i="6" a="1"/>
  <c r="F28" i="6" s="1"/>
  <c r="F18" i="6" a="1"/>
  <c r="F18" i="6" s="1"/>
  <c r="F37" i="6" a="1"/>
  <c r="F37" i="6" s="1"/>
  <c r="F27" i="6" a="1"/>
  <c r="F27" i="6" s="1"/>
  <c r="F12" i="6" a="1"/>
  <c r="F12" i="6" s="1"/>
  <c r="F19" i="6" a="1"/>
  <c r="F19" i="6" s="1"/>
  <c r="F32" i="6" a="1"/>
  <c r="F32" i="6" s="1"/>
  <c r="I32" i="6" s="1"/>
  <c r="F22" i="6" a="1"/>
  <c r="F22" i="6" s="1"/>
  <c r="F17" i="6" a="1"/>
  <c r="F17" i="6" s="1"/>
  <c r="F29" i="6" a="1"/>
  <c r="F29" i="6" s="1"/>
  <c r="F36" i="6" a="1"/>
  <c r="F36" i="6" s="1"/>
  <c r="I36" i="6" s="1"/>
  <c r="F26" i="6" a="1"/>
  <c r="F26" i="6" s="1"/>
  <c r="F11" i="6" a="1"/>
  <c r="F11" i="6" s="1"/>
  <c r="F14" i="6" a="1"/>
  <c r="F14" i="6" s="1"/>
  <c r="F33" i="6" a="1"/>
  <c r="F33" i="6" s="1"/>
  <c r="I33" i="6" s="1"/>
  <c r="F13" i="6" a="1"/>
  <c r="F13" i="6" s="1"/>
  <c r="F41" i="6" a="1"/>
  <c r="F41" i="6" s="1"/>
  <c r="F31" i="6" a="1"/>
  <c r="F31" i="6" s="1"/>
  <c r="F21" i="6" a="1"/>
  <c r="F21" i="6" s="1"/>
  <c r="F16" i="6" a="1"/>
  <c r="F16" i="6" s="1"/>
  <c r="F39" i="6" a="1"/>
  <c r="F39" i="6" s="1"/>
  <c r="F40" i="6" a="1"/>
  <c r="F40" i="6" s="1"/>
  <c r="F35" i="6" a="1"/>
  <c r="F35" i="6" s="1"/>
  <c r="I35" i="6" s="1"/>
  <c r="F30" i="6" a="1"/>
  <c r="F30" i="6" s="1"/>
  <c r="F25" i="6" a="1"/>
  <c r="F25" i="6" s="1"/>
  <c r="F20" i="6" a="1"/>
  <c r="F20" i="6" s="1"/>
  <c r="F15" i="6" a="1"/>
  <c r="F15" i="6" s="1"/>
  <c r="F9" i="6" a="1"/>
  <c r="F9" i="6" s="1"/>
  <c r="AB4" i="12" l="1"/>
  <c r="AB10" i="12" s="1"/>
  <c r="J24" i="8" a="1"/>
  <c r="J24" i="8" s="1"/>
  <c r="J18" i="8" a="1"/>
  <c r="J18" i="8" s="1"/>
  <c r="J31" i="8" a="1"/>
  <c r="J31" i="8" s="1"/>
  <c r="J28" i="8" a="1"/>
  <c r="J28" i="8" s="1"/>
  <c r="J23" i="8" a="1"/>
  <c r="J23" i="8" s="1"/>
  <c r="J19" i="8" a="1"/>
  <c r="J19" i="8" s="1"/>
  <c r="J20" i="8" a="1"/>
  <c r="J20" i="8" s="1"/>
  <c r="J26" i="8" a="1"/>
  <c r="J26" i="8" s="1"/>
  <c r="J22" i="8" a="1"/>
  <c r="J22" i="8" s="1"/>
  <c r="J27" i="8" a="1"/>
  <c r="J27" i="8" s="1"/>
  <c r="J30" i="8" a="1"/>
  <c r="J30" i="8" s="1"/>
  <c r="J29" i="8" a="1"/>
  <c r="J29" i="8" s="1"/>
  <c r="J21" i="8" a="1"/>
  <c r="J21" i="8" s="1"/>
  <c r="J25" i="8" a="1"/>
  <c r="J25" i="8" s="1"/>
  <c r="D32" i="12"/>
  <c r="H33" i="12" s="1"/>
  <c r="N40" i="12" s="1"/>
  <c r="M4" i="8"/>
  <c r="L4" i="6"/>
  <c r="L10" i="6" s="1"/>
  <c r="M4" i="6"/>
  <c r="M10" i="6" s="1"/>
  <c r="V6" i="9"/>
  <c r="U6" i="9"/>
  <c r="T6" i="9"/>
  <c r="S6" i="9"/>
  <c r="Q6" i="9"/>
  <c r="P6" i="9"/>
  <c r="O6" i="9"/>
  <c r="N6" i="9"/>
  <c r="L6" i="9"/>
  <c r="K6" i="9"/>
  <c r="J6" i="9"/>
  <c r="I6" i="9"/>
  <c r="W5" i="9"/>
  <c r="U5" i="9"/>
  <c r="T5" i="9"/>
  <c r="S5" i="9"/>
  <c r="R5" i="9"/>
  <c r="P5" i="9"/>
  <c r="O5" i="9"/>
  <c r="N5" i="9"/>
  <c r="M5" i="9"/>
  <c r="K5" i="9"/>
  <c r="J5" i="9"/>
  <c r="I5" i="9"/>
  <c r="W4" i="9"/>
  <c r="V4" i="9"/>
  <c r="T4" i="9"/>
  <c r="S4" i="9"/>
  <c r="R4" i="9"/>
  <c r="Q4" i="9"/>
  <c r="O4" i="9"/>
  <c r="N4" i="9"/>
  <c r="M4" i="9"/>
  <c r="L4" i="9"/>
  <c r="J4" i="9"/>
  <c r="I4" i="9"/>
  <c r="J2" i="9"/>
  <c r="K2" i="9"/>
  <c r="L2" i="9"/>
  <c r="M2" i="9"/>
  <c r="O2" i="9"/>
  <c r="P2" i="9"/>
  <c r="Q2" i="9"/>
  <c r="R2" i="9"/>
  <c r="T2" i="9"/>
  <c r="U2" i="9"/>
  <c r="V2" i="9"/>
  <c r="W2" i="9"/>
  <c r="W3" i="9"/>
  <c r="V3" i="9"/>
  <c r="U3" i="9"/>
  <c r="S3" i="9"/>
  <c r="R3" i="9"/>
  <c r="Q3" i="9"/>
  <c r="P3" i="9"/>
  <c r="N3" i="9"/>
  <c r="M3" i="9"/>
  <c r="L3" i="9"/>
  <c r="K3" i="9"/>
  <c r="Q32" i="12" l="1"/>
  <c r="M39" i="12" s="1"/>
  <c r="L32" i="12"/>
  <c r="I41" i="12" s="1"/>
  <c r="J41" i="12" s="1"/>
  <c r="E34" i="12"/>
  <c r="M5" i="8"/>
  <c r="M6" i="8" s="1"/>
  <c r="L11" i="8" s="1"/>
  <c r="H32" i="12"/>
  <c r="N39" i="12" s="1"/>
  <c r="N6" i="4"/>
  <c r="O39" i="12" l="1"/>
  <c r="U32" i="12"/>
  <c r="Q33" i="12"/>
  <c r="M40" i="12" s="1"/>
  <c r="O40" i="12" s="1"/>
  <c r="F34" i="12"/>
  <c r="D34" i="12" s="1"/>
  <c r="E33" i="12"/>
  <c r="F33" i="12" s="1"/>
  <c r="D33" i="12" s="1"/>
  <c r="H34" i="12" s="1"/>
  <c r="N41" i="12" s="1"/>
  <c r="AV8" i="9"/>
  <c r="AR8" i="9"/>
  <c r="AN8" i="9"/>
  <c r="AJ8" i="9"/>
  <c r="AF8" i="9"/>
  <c r="H2" i="9" a="1"/>
  <c r="H3" i="9" s="1"/>
  <c r="H35" i="12" l="1"/>
  <c r="E36" i="12" s="1"/>
  <c r="E35" i="12"/>
  <c r="F35" i="12" s="1"/>
  <c r="H5" i="9"/>
  <c r="H2" i="9"/>
  <c r="H6" i="9"/>
  <c r="H4" i="9"/>
  <c r="E32" i="8"/>
  <c r="F32" i="8" s="1" a="1"/>
  <c r="F32" i="8" s="1"/>
  <c r="D32" i="8" s="1"/>
  <c r="I32" i="8" s="1"/>
  <c r="J32" i="8" s="1" a="1"/>
  <c r="J32" i="8" s="1"/>
  <c r="H32" i="8" s="1"/>
  <c r="E33" i="8" s="1"/>
  <c r="F33" i="8" s="1" a="1"/>
  <c r="F33" i="8" s="1"/>
  <c r="D33" i="8" s="1"/>
  <c r="I33" i="8" s="1"/>
  <c r="J33" i="8" s="1" a="1"/>
  <c r="J33" i="8" s="1"/>
  <c r="H33" i="8" s="1"/>
  <c r="E34" i="8" s="1"/>
  <c r="F34" i="8" s="1" a="1"/>
  <c r="F34" i="8" s="1"/>
  <c r="D34" i="8" s="1"/>
  <c r="I34" i="8" s="1"/>
  <c r="J34" i="8" s="1" a="1"/>
  <c r="J34" i="8" s="1"/>
  <c r="H34" i="8" s="1"/>
  <c r="E35" i="8" s="1"/>
  <c r="F35" i="8" s="1" a="1"/>
  <c r="F35" i="8" s="1"/>
  <c r="D35" i="8" s="1"/>
  <c r="I35" i="8" s="1"/>
  <c r="J35" i="8" s="1" a="1"/>
  <c r="J35" i="8" s="1"/>
  <c r="H35" i="8" s="1"/>
  <c r="E36" i="8" s="1"/>
  <c r="F36" i="8" s="1" a="1"/>
  <c r="F36" i="8" s="1"/>
  <c r="D36" i="8" s="1"/>
  <c r="I36" i="8" s="1"/>
  <c r="J36" i="8" s="1" a="1"/>
  <c r="J36" i="8" s="1"/>
  <c r="H36" i="8" s="1"/>
  <c r="E37" i="8" s="1"/>
  <c r="F37" i="8" s="1" a="1"/>
  <c r="F37" i="8" s="1"/>
  <c r="D37" i="8" s="1"/>
  <c r="I37" i="8" s="1"/>
  <c r="J37" i="8" s="1" a="1"/>
  <c r="J37" i="8" s="1"/>
  <c r="H37" i="8" s="1"/>
  <c r="E38" i="8" s="1"/>
  <c r="F38" i="8" s="1" a="1"/>
  <c r="F38" i="8" s="1"/>
  <c r="D38" i="8" s="1"/>
  <c r="I38" i="8" s="1"/>
  <c r="J38" i="8" s="1" a="1"/>
  <c r="J38" i="8" s="1"/>
  <c r="H38" i="8" s="1"/>
  <c r="E39" i="8" s="1"/>
  <c r="F39" i="8" s="1" a="1"/>
  <c r="F39" i="8" s="1"/>
  <c r="D39" i="8" s="1"/>
  <c r="I39" i="8" s="1"/>
  <c r="J39" i="8" s="1" a="1"/>
  <c r="J39" i="8" s="1"/>
  <c r="H39" i="8" s="1"/>
  <c r="E40" i="8" s="1"/>
  <c r="F40" i="8" s="1" a="1"/>
  <c r="F40" i="8" s="1"/>
  <c r="D40" i="8" s="1"/>
  <c r="I40" i="8" s="1"/>
  <c r="J40" i="8" s="1" a="1"/>
  <c r="J40" i="8" s="1"/>
  <c r="H40" i="8" s="1"/>
  <c r="E41" i="8" s="1"/>
  <c r="F41" i="8" s="1" a="1"/>
  <c r="F41" i="8" s="1"/>
  <c r="D41" i="8" s="1"/>
  <c r="I41" i="8" s="1"/>
  <c r="J41" i="8" s="1" a="1"/>
  <c r="J41" i="8" s="1"/>
  <c r="H41" i="8" s="1"/>
  <c r="Q34" i="12" l="1"/>
  <c r="M41" i="12" s="1"/>
  <c r="O41" i="12" s="1"/>
  <c r="L34" i="12"/>
  <c r="U33" i="12"/>
  <c r="L33" i="12"/>
  <c r="F36" i="12"/>
  <c r="D35" i="12"/>
  <c r="Q35" i="12" l="1"/>
  <c r="U35" i="12"/>
  <c r="U34" i="12"/>
  <c r="D36" i="12"/>
  <c r="H36" i="12"/>
  <c r="Q36" i="12" l="1"/>
  <c r="L35" i="12"/>
  <c r="H37" i="12"/>
  <c r="E38" i="12" s="1"/>
  <c r="E37" i="12"/>
  <c r="F37" i="12" s="1"/>
  <c r="Q37" i="12" l="1"/>
  <c r="U36" i="12"/>
  <c r="L36" i="12"/>
  <c r="F38" i="12"/>
  <c r="D37" i="12"/>
  <c r="U37" i="12" l="1"/>
  <c r="L37" i="12"/>
  <c r="D38" i="12"/>
  <c r="H38" i="12"/>
  <c r="Q38" i="12" l="1"/>
  <c r="H39" i="12"/>
  <c r="E40" i="12" s="1"/>
  <c r="F40" i="12" s="1"/>
  <c r="E39" i="12"/>
  <c r="F39" i="12" s="1"/>
  <c r="Q39" i="12" l="1"/>
  <c r="U38" i="12"/>
  <c r="L38" i="12"/>
  <c r="D40" i="12"/>
  <c r="D39" i="12"/>
  <c r="U39" i="12" l="1"/>
  <c r="L39" i="12"/>
  <c r="H41" i="12"/>
  <c r="H40" i="12"/>
  <c r="Q40" i="12" l="1"/>
  <c r="E41" i="12"/>
  <c r="F41" i="12" s="1"/>
  <c r="Q41" i="12" l="1"/>
  <c r="U40" i="12"/>
  <c r="L40" i="12"/>
  <c r="D41" i="12"/>
  <c r="U41" i="12" l="1"/>
  <c r="L41" i="1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<sst xmlns="http://schemas.openxmlformats.org/spreadsheetml/2006/main" count="230" uniqueCount="154">
  <si>
    <t>t</t>
  </si>
  <si>
    <t>Y</t>
  </si>
  <si>
    <t>Порядок работы:</t>
  </si>
  <si>
    <t>Тренировочные примеры</t>
  </si>
  <si>
    <t>Основная модель</t>
  </si>
  <si>
    <t>Из исходных данных взять [любой] один ряд, например ВВП.</t>
  </si>
  <si>
    <t>В качестве фактора использовать сдвинутую на k периодов копию этого ряда.</t>
  </si>
  <si>
    <t>Построить авторегрессию и прогноз по ней на k периодов</t>
  </si>
  <si>
    <t>Считая прогноз продолжением изучаемого ряда, продлить ряды для получения прогноза на 10 лет.</t>
  </si>
  <si>
    <t>Подбирая k, получить правдоподобный прогноз.</t>
  </si>
  <si>
    <t>года</t>
  </si>
  <si>
    <t xml:space="preserve"> ВВП</t>
  </si>
  <si>
    <t>лаг запаздывания влияния k=</t>
  </si>
  <si>
    <t>Yt</t>
  </si>
  <si>
    <t>Yt+k</t>
  </si>
  <si>
    <t>X</t>
  </si>
  <si>
    <t>№</t>
  </si>
  <si>
    <t>Y^</t>
  </si>
  <si>
    <t>f (X)</t>
  </si>
  <si>
    <t>AR</t>
  </si>
  <si>
    <t>база</t>
  </si>
  <si>
    <t>горизонт</t>
  </si>
  <si>
    <t xml:space="preserve"> - можно сдвинуть сами данные (пример)</t>
  </si>
  <si>
    <t xml:space="preserve"> - можно сдвигать рамки аргументов в функции ТЕНДЕНЦИЯ</t>
  </si>
  <si>
    <t>Записать выводы о влиянии k на прогноз.</t>
  </si>
  <si>
    <t>Из исходных данных взять [любые] два ряда, например ВВП и Численность.</t>
  </si>
  <si>
    <t>Построить две регрессии: каждого ряда к сдвинутому другому.</t>
  </si>
  <si>
    <t>Считая прогноз продолжением изучаемых рядов, продлить ряды для получения прогноза на 10 лет.</t>
  </si>
  <si>
    <t>Подбирая периоды сдвигов, получить правдоподобный прогноз.</t>
  </si>
  <si>
    <t>Записать выводы.</t>
  </si>
  <si>
    <t xml:space="preserve"> Численность</t>
  </si>
  <si>
    <t>Y1</t>
  </si>
  <si>
    <t>Y2</t>
  </si>
  <si>
    <t>X1</t>
  </si>
  <si>
    <t>X2</t>
  </si>
  <si>
    <t>Y1^</t>
  </si>
  <si>
    <t>Y2^</t>
  </si>
  <si>
    <t>Vt</t>
  </si>
  <si>
    <t>Ct+k</t>
  </si>
  <si>
    <t>f (X1)</t>
  </si>
  <si>
    <t>Ct</t>
  </si>
  <si>
    <t>Vt+k</t>
  </si>
  <si>
    <t>f (X2)</t>
  </si>
  <si>
    <t>лаги запаздывания влияния k1=</t>
  </si>
  <si>
    <t>k2=</t>
  </si>
  <si>
    <t xml:space="preserve"> ВДС</t>
  </si>
  <si>
    <t xml:space="preserve"> Ввод фондов</t>
  </si>
  <si>
    <t xml:space="preserve"> ЗАР ПЛАТА </t>
  </si>
  <si>
    <t>Y3</t>
  </si>
  <si>
    <t>Y4</t>
  </si>
  <si>
    <t>Y5</t>
  </si>
  <si>
    <t>исходные ряды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</si>
  <si>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</si>
  <si>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</si>
  <si>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</si>
  <si>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</si>
  <si>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</si>
  <si>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</si>
  <si>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</si>
  <si>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</si>
  <si>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</si>
  <si>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</si>
  <si>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сдвинутые ряды</t>
  </si>
  <si>
    <t>Х11</t>
  </si>
  <si>
    <t>Х12</t>
  </si>
  <si>
    <t>Х13</t>
  </si>
  <si>
    <t>Х14</t>
  </si>
  <si>
    <t>Х15</t>
  </si>
  <si>
    <t>Связи по максимальной корреляции</t>
  </si>
  <si>
    <t>Корреляция по модулю:</t>
  </si>
  <si>
    <t>база с:</t>
  </si>
  <si>
    <t>Y^1</t>
  </si>
  <si>
    <t>регрессия</t>
  </si>
  <si>
    <t>Y^2</t>
  </si>
  <si>
    <t>Y^3</t>
  </si>
  <si>
    <t>Y^4</t>
  </si>
  <si>
    <t>Y^5</t>
  </si>
  <si>
    <t xml:space="preserve"> - в качестве фактора не может быть использована копия именно изучаемого ряда (т.е. исключается авторегрессия)</t>
  </si>
  <si>
    <t>Построить 5 регрессий и дать прогноз на период сдвига факторов</t>
  </si>
  <si>
    <t>Считая прогнозы продолжением изучаемых рядов, продлить ряды для получения прогноза на 10 лет.</t>
  </si>
  <si>
    <t>Вывести результаты на графики</t>
  </si>
  <si>
    <t>(по желанию)</t>
  </si>
  <si>
    <t>Меняя факторы в регрессиях и/или базу регрессий, попытаться отследить возможные последствия и/или улучшить прогнозную картину</t>
  </si>
  <si>
    <t>Занятие №</t>
  </si>
  <si>
    <t>группа</t>
  </si>
  <si>
    <t>студент</t>
  </si>
  <si>
    <t>вариант</t>
  </si>
  <si>
    <t>Авторизовать файл:</t>
  </si>
  <si>
    <t xml:space="preserve"> - сохранить файл, дав ему название по шаблону: &lt;Группа_без_тире&gt; &lt;номер_занятия_двумя_цифрами&gt; &lt;ФамилияИО&gt;</t>
  </si>
  <si>
    <t xml:space="preserve"> - исправить внутри файла группу и фамилию</t>
  </si>
  <si>
    <t>Тема:</t>
  </si>
  <si>
    <t>Задачи:</t>
  </si>
  <si>
    <t>Регрессии с запаздыванием</t>
  </si>
  <si>
    <t xml:space="preserve"> - (обычная) авторегрессия</t>
  </si>
  <si>
    <t xml:space="preserve"> - рефлексивная регрессия</t>
  </si>
  <si>
    <t xml:space="preserve"> - множественная рефлексивная регрессия</t>
  </si>
  <si>
    <t xml:space="preserve"> - желательно при этом сделать из k управляющий параметр (см. предыдущую работу)</t>
  </si>
  <si>
    <t>Для отслеживания "эффектов" авторегрессии горизонт желательно иметь больше 2k.</t>
  </si>
  <si>
    <r>
      <t xml:space="preserve">Авторегрессия (лист "AR") - </t>
    </r>
    <r>
      <rPr>
        <b/>
        <i/>
        <sz val="11"/>
        <color theme="1"/>
        <rFont val="Calibri"/>
        <family val="2"/>
        <charset val="204"/>
        <scheme val="minor"/>
      </rPr>
      <t>рис.1</t>
    </r>
  </si>
  <si>
    <r>
      <t xml:space="preserve">Рефлексивная регрессия (лист "Refl_R") - </t>
    </r>
    <r>
      <rPr>
        <b/>
        <i/>
        <sz val="11"/>
        <color theme="1"/>
        <rFont val="Calibri"/>
        <family val="2"/>
        <charset val="204"/>
        <scheme val="minor"/>
      </rPr>
      <t>рис.2</t>
    </r>
  </si>
  <si>
    <t xml:space="preserve">Множественная рефлексивная регрессия (лист "Модель") </t>
  </si>
  <si>
    <t>Для всех 5 рядов исходных данных построить сдвинутые ряды на 1-3 года</t>
  </si>
  <si>
    <r>
      <rPr>
        <b/>
        <i/>
        <sz val="11"/>
        <color theme="1"/>
        <rFont val="Calibri"/>
        <family val="2"/>
        <charset val="204"/>
        <scheme val="minor"/>
      </rPr>
      <t>рис.3</t>
    </r>
    <r>
      <rPr>
        <i/>
        <sz val="11"/>
        <color theme="1"/>
        <rFont val="Calibri"/>
        <family val="2"/>
        <charset val="204"/>
        <scheme val="minor"/>
      </rPr>
      <t>:</t>
    </r>
  </si>
  <si>
    <t xml:space="preserve"> - каждое явление (его сдвинутые ряды) должно быть фактором других явлений (на графе факторных зависимостей не должно быть стоков)</t>
  </si>
  <si>
    <r>
      <rPr>
        <b/>
        <i/>
        <sz val="11"/>
        <color theme="1"/>
        <rFont val="Calibri"/>
        <family val="2"/>
        <charset val="204"/>
        <scheme val="minor"/>
      </rPr>
      <t>рис.4</t>
    </r>
    <r>
      <rPr>
        <i/>
        <sz val="11"/>
        <color theme="1"/>
        <rFont val="Calibri"/>
        <family val="2"/>
        <charset val="204"/>
        <scheme val="minor"/>
      </rPr>
      <t>:</t>
    </r>
  </si>
  <si>
    <r>
      <rPr>
        <b/>
        <i/>
        <sz val="11"/>
        <color theme="1"/>
        <rFont val="Calibri"/>
        <family val="2"/>
        <charset val="204"/>
        <scheme val="minor"/>
      </rPr>
      <t>рис.5</t>
    </r>
    <r>
      <rPr>
        <i/>
        <sz val="11"/>
        <color theme="1"/>
        <rFont val="Calibri"/>
        <family val="2"/>
        <charset val="204"/>
        <scheme val="minor"/>
      </rPr>
      <t>:</t>
    </r>
  </si>
  <si>
    <t>Структуру таблицы на листе скорректировать с учётом актуальной длины исходных данных.</t>
  </si>
  <si>
    <t>Подбирая длину базы, для каждого исходного ряда найти 1-2 фактора среди сдвинутых рядов, такие - что:</t>
  </si>
  <si>
    <t>В предыдущей работе для прогнозирования по (обычной) регрессии требовались прогнозные (трендовые) значения факторов. Теперь получим прогнозы по регрессии без использования прогнозов по трендам.</t>
  </si>
  <si>
    <t>Структура таблицы на листе AR отличается от структуры на рисунах всвязи с изменеием длины исходных данных.</t>
  </si>
  <si>
    <t>Если взят не ряд ВВП или ВДС - скорректировать разбиение на базу/горизонт</t>
  </si>
  <si>
    <r>
      <t xml:space="preserve"> - модуль корреляции исходного ряда и фактора должен быть бо</t>
    </r>
    <r>
      <rPr>
        <sz val="11"/>
        <color theme="1"/>
        <rFont val="Calibri"/>
        <family val="2"/>
        <charset val="204"/>
      </rPr>
      <t>́</t>
    </r>
    <r>
      <rPr>
        <sz val="11"/>
        <color theme="1"/>
        <rFont val="Calibri"/>
        <family val="2"/>
        <charset val="204"/>
        <scheme val="minor"/>
      </rPr>
      <t>льшим</t>
    </r>
  </si>
  <si>
    <t>ПМ-2541</t>
  </si>
  <si>
    <t>Петров ГА</t>
  </si>
  <si>
    <t>Вход</t>
  </si>
  <si>
    <t>Выход</t>
  </si>
  <si>
    <t>Точность</t>
  </si>
  <si>
    <t>R^2</t>
  </si>
  <si>
    <t>Осмысленность</t>
  </si>
  <si>
    <t>Адекватность</t>
  </si>
  <si>
    <t>Адекватный интервал прогноза</t>
  </si>
  <si>
    <t>Y min</t>
  </si>
  <si>
    <t>X max</t>
  </si>
  <si>
    <t>низ</t>
  </si>
  <si>
    <t>верх</t>
  </si>
  <si>
    <t>ВВП</t>
  </si>
  <si>
    <t>св.член</t>
  </si>
  <si>
    <t>уд.влияние</t>
  </si>
  <si>
    <t>Функция</t>
  </si>
  <si>
    <t>Таблицы подстановки</t>
  </si>
  <si>
    <t>k</t>
  </si>
  <si>
    <t>ОФ</t>
  </si>
  <si>
    <t>Итого</t>
  </si>
  <si>
    <t>k2</t>
  </si>
  <si>
    <t>k1</t>
  </si>
  <si>
    <t>k3=</t>
  </si>
  <si>
    <t>k4=</t>
  </si>
  <si>
    <t>k5=</t>
  </si>
  <si>
    <t>X3</t>
  </si>
  <si>
    <t>Y3^</t>
  </si>
  <si>
    <t>X5</t>
  </si>
  <si>
    <t>Y4^</t>
  </si>
  <si>
    <t>X4</t>
  </si>
  <si>
    <t>Y5^</t>
  </si>
  <si>
    <t>ЗП</t>
  </si>
  <si>
    <t>ССЧ</t>
  </si>
  <si>
    <t>ВДС</t>
  </si>
  <si>
    <t>ССЧ t+7</t>
  </si>
  <si>
    <t>Y^ 1</t>
  </si>
  <si>
    <t>Y^ 2</t>
  </si>
  <si>
    <t>Y^ 3</t>
  </si>
  <si>
    <t>Y^ 4</t>
  </si>
  <si>
    <t>Y^ 5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</si>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</sst>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#,##0.000"/>
  </numFmts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rgb="FF7030A0"/>
      <name val="Calibri"/>
      <family val="2"/>
      <charset val="204"/>
      <scheme val="minor"/>
    </font>
    <font>
      <sz val="24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8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3" borderId="1" xfId="0" applyFill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wrapText="1"/>
    </xf>
    <xf numFmtId="3" fontId="0" fillId="0" borderId="4" xfId="0" applyNumberFormat="1" applyBorder="1"/>
    <xf numFmtId="3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0" fillId="0" borderId="0" xfId="0" applyNumberFormat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2" xfId="0" applyNumberFormat="1" applyBorder="1"/>
    <xf numFmtId="3" fontId="0" fillId="0" borderId="15" xfId="0" applyNumberFormat="1" applyBorder="1"/>
    <xf numFmtId="3" fontId="0" fillId="0" borderId="5" xfId="0" applyNumberFormat="1" applyBorder="1"/>
    <xf numFmtId="3" fontId="0" fillId="0" borderId="6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4" fillId="2" borderId="0" xfId="1" applyFont="1" applyFill="1" applyAlignment="1">
      <alignment horizontal="center"/>
    </xf>
    <xf numFmtId="0" fontId="5" fillId="0" borderId="0" xfId="0" applyFont="1"/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3" fontId="0" fillId="0" borderId="16" xfId="0" applyNumberFormat="1" applyBorder="1"/>
    <xf numFmtId="3" fontId="0" fillId="0" borderId="20" xfId="0" applyNumberFormat="1" applyBorder="1"/>
    <xf numFmtId="3" fontId="0" fillId="0" borderId="21" xfId="0" applyNumberFormat="1" applyBorder="1"/>
    <xf numFmtId="3" fontId="0" fillId="0" borderId="22" xfId="0" applyNumberFormat="1" applyBorder="1"/>
    <xf numFmtId="3" fontId="0" fillId="0" borderId="23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24" xfId="0" applyNumberFormat="1" applyBorder="1"/>
    <xf numFmtId="0" fontId="0" fillId="2" borderId="3" xfId="0" applyFill="1" applyBorder="1" applyAlignment="1">
      <alignment vertical="center" textRotation="90"/>
    </xf>
    <xf numFmtId="0" fontId="0" fillId="0" borderId="4" xfId="0" applyBorder="1"/>
    <xf numFmtId="3" fontId="0" fillId="4" borderId="1" xfId="0" applyNumberFormat="1" applyFill="1" applyBorder="1"/>
    <xf numFmtId="10" fontId="0" fillId="0" borderId="0" xfId="0" applyNumberFormat="1"/>
    <xf numFmtId="0" fontId="1" fillId="0" borderId="24" xfId="0" applyFont="1" applyBorder="1" applyAlignment="1">
      <alignment horizontal="center" wrapText="1"/>
    </xf>
    <xf numFmtId="0" fontId="0" fillId="0" borderId="7" xfId="0" applyBorder="1"/>
    <xf numFmtId="0" fontId="0" fillId="5" borderId="25" xfId="0" applyFill="1" applyBorder="1"/>
    <xf numFmtId="3" fontId="0" fillId="0" borderId="26" xfId="0" applyNumberFormat="1" applyBorder="1"/>
    <xf numFmtId="3" fontId="0" fillId="0" borderId="27" xfId="0" applyNumberFormat="1" applyBorder="1"/>
    <xf numFmtId="0" fontId="0" fillId="0" borderId="28" xfId="0" applyBorder="1"/>
    <xf numFmtId="0" fontId="0" fillId="0" borderId="29" xfId="0" applyBorder="1"/>
    <xf numFmtId="0" fontId="0" fillId="0" borderId="20" xfId="0" applyBorder="1"/>
    <xf numFmtId="0" fontId="0" fillId="0" borderId="21" xfId="0" applyBorder="1"/>
    <xf numFmtId="0" fontId="0" fillId="0" borderId="30" xfId="0" applyBorder="1"/>
    <xf numFmtId="166" fontId="0" fillId="0" borderId="0" xfId="0" applyNumberFormat="1"/>
    <xf numFmtId="1" fontId="0" fillId="0" borderId="1" xfId="0" applyNumberFormat="1" applyBorder="1"/>
    <xf numFmtId="0" fontId="0" fillId="0" borderId="25" xfId="0" applyBorder="1"/>
    <xf numFmtId="0" fontId="0" fillId="0" borderId="27" xfId="0" applyBorder="1"/>
    <xf numFmtId="0" fontId="0" fillId="0" borderId="31" xfId="0" applyBorder="1"/>
    <xf numFmtId="0" fontId="1" fillId="0" borderId="20" xfId="0" applyFont="1" applyFill="1" applyBorder="1" applyAlignment="1">
      <alignment horizontal="center"/>
    </xf>
    <xf numFmtId="0" fontId="0" fillId="0" borderId="32" xfId="0" applyBorder="1"/>
    <xf numFmtId="0" fontId="0" fillId="6" borderId="0" xfId="0" applyFill="1"/>
    <xf numFmtId="3" fontId="0" fillId="0" borderId="0" xfId="0" applyNumberForma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6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3" fontId="0" fillId="0" borderId="24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/>
    <xf numFmtId="0" fontId="10" fillId="0" borderId="25" xfId="0" applyFont="1" applyBorder="1"/>
    <xf numFmtId="0" fontId="0" fillId="0" borderId="29" xfId="0" applyBorder="1" applyAlignment="1">
      <alignment horizontal="center"/>
    </xf>
    <xf numFmtId="166" fontId="0" fillId="0" borderId="1" xfId="0" applyNumberFormat="1" applyBorder="1"/>
    <xf numFmtId="165" fontId="0" fillId="0" borderId="31" xfId="0" applyNumberFormat="1" applyBorder="1"/>
    <xf numFmtId="166" fontId="0" fillId="7" borderId="32" xfId="0" applyNumberFormat="1" applyFill="1" applyBorder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AR!$D$7</c:f>
              <c:strCache>
                <c:ptCount val="1"/>
                <c:pt idx="0">
                  <c:v>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AR!$D$8:$D$41</c:f>
              <c:numCache>
                <c:formatCode>#,##0</c:formatCode>
                <c:ptCount val="3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A-D84B-86DF-AF391F0ADBCD}"/>
            </c:ext>
          </c:extLst>
        </c:ser>
        <c:ser>
          <c:idx val="1"/>
          <c:order val="1"/>
          <c:tx>
            <c:strRef>
              <c:f>AR!$E$7</c:f>
              <c:strCache>
                <c:ptCount val="1"/>
                <c:pt idx="0">
                  <c:v>ВВП t+5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AR!$E$8:$E$41</c:f>
              <c:numCache>
                <c:formatCode>#,##0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1523670.1312683504</c:v>
                </c:pt>
                <c:pt idx="6">
                  <c:v>1899714.2822209885</c:v>
                </c:pt>
                <c:pt idx="7">
                  <c:v>2271976.8034374709</c:v>
                </c:pt>
                <c:pt idx="8">
                  <c:v>2745199.6299384595</c:v>
                </c:pt>
                <c:pt idx="9">
                  <c:v>3476075.5445336094</c:v>
                </c:pt>
                <c:pt idx="10">
                  <c:v>4183589.0473623835</c:v>
                </c:pt>
                <c:pt idx="11">
                  <c:v>5380452.4239379605</c:v>
                </c:pt>
                <c:pt idx="12">
                  <c:v>5857652.2365358304</c:v>
                </c:pt>
                <c:pt idx="13">
                  <c:v>6511019.5831007604</c:v>
                </c:pt>
                <c:pt idx="14">
                  <c:v>7448243.4494492188</c:v>
                </c:pt>
                <c:pt idx="15">
                  <c:v>8915955.3337932099</c:v>
                </c:pt>
                <c:pt idx="16">
                  <c:v>10017461.84195617</c:v>
                </c:pt>
                <c:pt idx="17">
                  <c:v>9925208.0999999996</c:v>
                </c:pt>
                <c:pt idx="18">
                  <c:v>10706582.1</c:v>
                </c:pt>
                <c:pt idx="19">
                  <c:v>11852881.700000001</c:v>
                </c:pt>
                <c:pt idx="20">
                  <c:v>12766002.800000001</c:v>
                </c:pt>
                <c:pt idx="21">
                  <c:v>13515794</c:v>
                </c:pt>
                <c:pt idx="22">
                  <c:v>13615271.9</c:v>
                </c:pt>
                <c:pt idx="23">
                  <c:v>14544325.699999999</c:v>
                </c:pt>
                <c:pt idx="24">
                  <c:v>16406490.399999999</c:v>
                </c:pt>
                <c:pt idx="25">
                  <c:v>19738622.600000001</c:v>
                </c:pt>
                <c:pt idx="26">
                  <c:v>24340433.200000003</c:v>
                </c:pt>
                <c:pt idx="27">
                  <c:v>29177253.5</c:v>
                </c:pt>
                <c:pt idx="28">
                  <c:v>32463740.899999999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DA-D84B-86DF-AF391F0ADBCD}"/>
            </c:ext>
          </c:extLst>
        </c:ser>
        <c:ser>
          <c:idx val="2"/>
          <c:order val="2"/>
          <c:tx>
            <c:strRef>
              <c:f>AR!$F$7</c:f>
              <c:strCache>
                <c:ptCount val="1"/>
                <c:pt idx="0">
                  <c:v>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AR!$F$8:$F$41</c:f>
              <c:numCache>
                <c:formatCode>#,##0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3239091.9563493924</c:v>
                </c:pt>
                <c:pt idx="6">
                  <c:v>3862052.891894192</c:v>
                </c:pt>
                <c:pt idx="7">
                  <c:v>4478749.1173182474</c:v>
                </c:pt>
                <c:pt idx="8">
                  <c:v>5262697.8477303302</c:v>
                </c:pt>
                <c:pt idx="9">
                  <c:v>6473478.9285420366</c:v>
                </c:pt>
                <c:pt idx="10">
                  <c:v>7645557.4531414071</c:v>
                </c:pt>
                <c:pt idx="11">
                  <c:v>9628301.0403026287</c:v>
                </c:pt>
                <c:pt idx="12">
                  <c:v>10418838.111400999</c:v>
                </c:pt>
                <c:pt idx="13">
                  <c:v>11501217.221511863</c:v>
                </c:pt>
                <c:pt idx="14">
                  <c:v>13053837.718643023</c:v>
                </c:pt>
                <c:pt idx="15">
                  <c:v>15485273.405821975</c:v>
                </c:pt>
                <c:pt idx="16">
                  <c:v>17310047.233830027</c:v>
                </c:pt>
                <c:pt idx="17">
                  <c:v>17157218.165086545</c:v>
                </c:pt>
                <c:pt idx="18">
                  <c:v>18451655.206102215</c:v>
                </c:pt>
                <c:pt idx="19">
                  <c:v>20350634.007983834</c:v>
                </c:pt>
                <c:pt idx="20">
                  <c:v>21863325.465305131</c:v>
                </c:pt>
                <c:pt idx="21">
                  <c:v>23105441.919535223</c:v>
                </c:pt>
                <c:pt idx="22">
                  <c:v>23270238.647507302</c:v>
                </c:pt>
                <c:pt idx="23">
                  <c:v>24809324.478129208</c:v>
                </c:pt>
                <c:pt idx="24">
                  <c:v>27894217.19807104</c:v>
                </c:pt>
                <c:pt idx="25">
                  <c:v>33414282.295247339</c:v>
                </c:pt>
                <c:pt idx="26">
                  <c:v>41037717.546968713</c:v>
                </c:pt>
                <c:pt idx="27">
                  <c:v>49050473.739338197</c:v>
                </c:pt>
                <c:pt idx="28">
                  <c:v>54494922.908866845</c:v>
                </c:pt>
                <c:pt idx="29">
                  <c:v>714954.9154407382</c:v>
                </c:pt>
                <c:pt idx="30">
                  <c:v>714954.9154407382</c:v>
                </c:pt>
                <c:pt idx="31">
                  <c:v>714954.9154407382</c:v>
                </c:pt>
                <c:pt idx="32">
                  <c:v>714954.9154407382</c:v>
                </c:pt>
                <c:pt idx="33">
                  <c:v>714954.9154407382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DA-D84B-86DF-AF391F0ADBCD}"/>
            </c:ext>
          </c:extLst>
        </c:ser>
        <c:ser>
          <c:idx val="3"/>
          <c:order val="3"/>
          <c:tx>
            <c:strRef>
              <c:f>AR!$G$7</c:f>
              <c:strCache>
                <c:ptCount val="1"/>
                <c:pt idx="0">
                  <c:v>низ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AR!$G$8:$G$41</c:f>
              <c:numCache>
                <c:formatCode>#,##0</c:formatCode>
                <c:ptCount val="34"/>
                <c:pt idx="0">
                  <c:v>-1956201.4500859925</c:v>
                </c:pt>
                <c:pt idx="1">
                  <c:v>-1286877.1868016412</c:v>
                </c:pt>
                <c:pt idx="2">
                  <c:v>-580604.81776423042</c:v>
                </c:pt>
                <c:pt idx="3">
                  <c:v>162595.71389143006</c:v>
                </c:pt>
                <c:pt idx="4">
                  <c:v>942176.77224868082</c:v>
                </c:pt>
                <c:pt idx="5">
                  <c:v>1756902.0622068932</c:v>
                </c:pt>
                <c:pt idx="6">
                  <c:v>2604677.2707518386</c:v>
                </c:pt>
                <c:pt idx="7">
                  <c:v>3482415.6439466206</c:v>
                </c:pt>
                <c:pt idx="8">
                  <c:v>4386021.7774340864</c:v>
                </c:pt>
                <c:pt idx="9">
                  <c:v>5310614.37989299</c:v>
                </c:pt>
                <c:pt idx="10">
                  <c:v>6251096.5317673925</c:v>
                </c:pt>
                <c:pt idx="11">
                  <c:v>7203056.213776174</c:v>
                </c:pt>
                <c:pt idx="12">
                  <c:v>8163748.1690284451</c:v>
                </c:pt>
                <c:pt idx="13">
                  <c:v>9132743.5197487306</c:v>
                </c:pt>
                <c:pt idx="14">
                  <c:v>10111953.60401921</c:v>
                </c:pt>
                <c:pt idx="15">
                  <c:v>11105090.40919121</c:v>
                </c:pt>
                <c:pt idx="16">
                  <c:v>12116896.199047633</c:v>
                </c:pt>
                <c:pt idx="17">
                  <c:v>13152464.67318739</c:v>
                </c:pt>
                <c:pt idx="18">
                  <c:v>14216798.490484538</c:v>
                </c:pt>
                <c:pt idx="19">
                  <c:v>15314593.402886452</c:v>
                </c:pt>
                <c:pt idx="20">
                  <c:v>16450176.729841826</c:v>
                </c:pt>
                <c:pt idx="21">
                  <c:v>17627529.220460288</c:v>
                </c:pt>
                <c:pt idx="22">
                  <c:v>18850342.104058798</c:v>
                </c:pt>
                <c:pt idx="23">
                  <c:v>20122082.664074387</c:v>
                </c:pt>
                <c:pt idx="24">
                  <c:v>21446055.93275819</c:v>
                </c:pt>
                <c:pt idx="25">
                  <c:v>22825457.991466932</c:v>
                </c:pt>
                <c:pt idx="26">
                  <c:v>24263420.175912913</c:v>
                </c:pt>
                <c:pt idx="27">
                  <c:v>25763045.071118195</c:v>
                </c:pt>
                <c:pt idx="28">
                  <c:v>27327435.670290373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DA-D84B-86DF-AF391F0ADBCD}"/>
            </c:ext>
          </c:extLst>
        </c:ser>
        <c:ser>
          <c:idx val="4"/>
          <c:order val="4"/>
          <c:tx>
            <c:strRef>
              <c:f>AR!$H$7</c:f>
              <c:strCache>
                <c:ptCount val="1"/>
                <c:pt idx="0">
                  <c:v>верх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AR!$H$8:$H$41</c:f>
              <c:numCache>
                <c:formatCode>#,##0</c:formatCode>
                <c:ptCount val="34"/>
                <c:pt idx="0">
                  <c:v>3739941.0803154707</c:v>
                </c:pt>
                <c:pt idx="1">
                  <c:v>4213046.8077561511</c:v>
                </c:pt>
                <c:pt idx="2">
                  <c:v>4718163.99984763</c:v>
                </c:pt>
                <c:pt idx="3">
                  <c:v>5258485.370482346</c:v>
                </c:pt>
                <c:pt idx="4">
                  <c:v>5837861.6182303559</c:v>
                </c:pt>
                <c:pt idx="5">
                  <c:v>6460967.4171804525</c:v>
                </c:pt>
                <c:pt idx="6">
                  <c:v>7133475.9862706047</c:v>
                </c:pt>
                <c:pt idx="7">
                  <c:v>7862198.9157687509</c:v>
                </c:pt>
                <c:pt idx="8">
                  <c:v>8655107.9800591394</c:v>
                </c:pt>
                <c:pt idx="9">
                  <c:v>9521118.1844831277</c:v>
                </c:pt>
                <c:pt idx="10">
                  <c:v>10469523.531359868</c:v>
                </c:pt>
                <c:pt idx="11">
                  <c:v>11509102.738387467</c:v>
                </c:pt>
                <c:pt idx="12">
                  <c:v>12647143.853577789</c:v>
                </c:pt>
                <c:pt idx="13">
                  <c:v>13888801.353981158</c:v>
                </c:pt>
                <c:pt idx="14">
                  <c:v>15237079.271344533</c:v>
                </c:pt>
                <c:pt idx="15">
                  <c:v>16693377.976902718</c:v>
                </c:pt>
                <c:pt idx="16">
                  <c:v>18258272.037383951</c:v>
                </c:pt>
                <c:pt idx="17">
                  <c:v>19932196.813244045</c:v>
                </c:pt>
                <c:pt idx="18">
                  <c:v>21715898.977094799</c:v>
                </c:pt>
                <c:pt idx="19">
                  <c:v>23610660.716225568</c:v>
                </c:pt>
                <c:pt idx="20">
                  <c:v>25618369.899447113</c:v>
                </c:pt>
                <c:pt idx="21">
                  <c:v>27741507.172045324</c:v>
                </c:pt>
                <c:pt idx="22">
                  <c:v>29983098.189460117</c:v>
                </c:pt>
                <c:pt idx="23">
                  <c:v>32346657.666376326</c:v>
                </c:pt>
                <c:pt idx="24">
                  <c:v>34836137.655886173</c:v>
                </c:pt>
                <c:pt idx="25">
                  <c:v>37455884.586404614</c:v>
                </c:pt>
                <c:pt idx="26">
                  <c:v>40210605.769911781</c:v>
                </c:pt>
                <c:pt idx="27">
                  <c:v>43105344.510163926</c:v>
                </c:pt>
                <c:pt idx="28">
                  <c:v>46145462.450511649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DA-D84B-86DF-AF391F0AD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910464"/>
        <c:axId val="1270920768"/>
      </c:lineChart>
      <c:catAx>
        <c:axId val="127091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0920768"/>
        <c:crosses val="autoZero"/>
        <c:auto val="1"/>
        <c:lblAlgn val="ctr"/>
        <c:lblOffset val="100"/>
        <c:noMultiLvlLbl val="0"/>
      </c:catAx>
      <c:valAx>
        <c:axId val="127092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091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Refl_R!$D$7</c:f>
              <c:strCache>
                <c:ptCount val="1"/>
                <c:pt idx="0">
                  <c:v>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Refl_R!$D$8:$D$41</c:f>
              <c:numCache>
                <c:formatCode>#,##0</c:formatCode>
                <c:ptCount val="3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  <c:pt idx="24">
                  <c:v>30053904.768634457</c:v>
                </c:pt>
                <c:pt idx="25">
                  <c:v>30572099.381292187</c:v>
                </c:pt>
                <c:pt idx="26">
                  <c:v>32425108.0738228</c:v>
                </c:pt>
                <c:pt idx="27">
                  <c:v>33946669.245920286</c:v>
                </c:pt>
                <c:pt idx="28">
                  <c:v>34148541.06052921</c:v>
                </c:pt>
                <c:pt idx="29">
                  <c:v>36033882.191326201</c:v>
                </c:pt>
                <c:pt idx="30">
                  <c:v>39812797.579464376</c:v>
                </c:pt>
                <c:pt idx="31">
                  <c:v>46574737.404599458</c:v>
                </c:pt>
                <c:pt idx="32">
                  <c:v>55913252.354237035</c:v>
                </c:pt>
                <c:pt idx="33">
                  <c:v>65728675.587922581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3-3E4D-B8B9-9955FB7534CD}"/>
            </c:ext>
          </c:extLst>
        </c:ser>
        <c:ser>
          <c:idx val="1"/>
          <c:order val="1"/>
          <c:tx>
            <c:strRef>
              <c:f>Refl_R!$F$7</c:f>
              <c:strCache>
                <c:ptCount val="1"/>
                <c:pt idx="0">
                  <c:v>ВВП( ОФ t+1)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Refl_R!$F$8:$F$41</c:f>
              <c:numCache>
                <c:formatCode>#,##0</c:formatCode>
                <c:ptCount val="34"/>
                <c:pt idx="0">
                  <c:v>0</c:v>
                </c:pt>
                <c:pt idx="1">
                  <c:v>2162803.2385817878</c:v>
                </c:pt>
                <c:pt idx="2">
                  <c:v>2506353.3194957832</c:v>
                </c:pt>
                <c:pt idx="3">
                  <c:v>2825946.1432784656</c:v>
                </c:pt>
                <c:pt idx="4">
                  <c:v>3156847.7662632875</c:v>
                </c:pt>
                <c:pt idx="5">
                  <c:v>3643075.1999860043</c:v>
                </c:pt>
                <c:pt idx="6">
                  <c:v>4228885.6231060866</c:v>
                </c:pt>
                <c:pt idx="7">
                  <c:v>5112363.3969131447</c:v>
                </c:pt>
                <c:pt idx="8">
                  <c:v>5786128.0475667194</c:v>
                </c:pt>
                <c:pt idx="9">
                  <c:v>6251775.7956639547</c:v>
                </c:pt>
                <c:pt idx="10">
                  <c:v>6779262.7738884017</c:v>
                </c:pt>
                <c:pt idx="11">
                  <c:v>10756623.943386121</c:v>
                </c:pt>
                <c:pt idx="12">
                  <c:v>12122229.655729428</c:v>
                </c:pt>
                <c:pt idx="13">
                  <c:v>12823362.314767765</c:v>
                </c:pt>
                <c:pt idx="14">
                  <c:v>13272599.613296775</c:v>
                </c:pt>
                <c:pt idx="15">
                  <c:v>14106054.373847732</c:v>
                </c:pt>
                <c:pt idx="16">
                  <c:v>14251128.370214971</c:v>
                </c:pt>
                <c:pt idx="17">
                  <c:v>14958233.531358575</c:v>
                </c:pt>
                <c:pt idx="18">
                  <c:v>15812299.879667301</c:v>
                </c:pt>
                <c:pt idx="19">
                  <c:v>16666366.227976028</c:v>
                </c:pt>
                <c:pt idx="20">
                  <c:v>18208647.844170365</c:v>
                </c:pt>
                <c:pt idx="21">
                  <c:v>22627087.962302398</c:v>
                </c:pt>
                <c:pt idx="22">
                  <c:v>27045528.08043443</c:v>
                </c:pt>
                <c:pt idx="23">
                  <c:v>32656343.97437058</c:v>
                </c:pt>
                <c:pt idx="24">
                  <c:v>30053904.768634457</c:v>
                </c:pt>
                <c:pt idx="25">
                  <c:v>30572099.381292187</c:v>
                </c:pt>
                <c:pt idx="26">
                  <c:v>32425108.0738228</c:v>
                </c:pt>
                <c:pt idx="27">
                  <c:v>33946669.245920286</c:v>
                </c:pt>
                <c:pt idx="28">
                  <c:v>34148541.06052921</c:v>
                </c:pt>
                <c:pt idx="29">
                  <c:v>36033882.191326201</c:v>
                </c:pt>
                <c:pt idx="30">
                  <c:v>39812797.579464376</c:v>
                </c:pt>
                <c:pt idx="31">
                  <c:v>46574737.404599458</c:v>
                </c:pt>
                <c:pt idx="32">
                  <c:v>55913252.354237035</c:v>
                </c:pt>
                <c:pt idx="33">
                  <c:v>65728675.587922581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3-3E4D-B8B9-9955FB753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4862463"/>
        <c:axId val="1884860223"/>
      </c:lineChart>
      <c:catAx>
        <c:axId val="1884862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4860223"/>
        <c:crosses val="autoZero"/>
        <c:auto val="1"/>
        <c:lblAlgn val="ctr"/>
        <c:lblOffset val="100"/>
        <c:noMultiLvlLbl val="0"/>
      </c:catAx>
      <c:valAx>
        <c:axId val="188486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486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Refl_R!$H$7</c:f>
              <c:strCache>
                <c:ptCount val="1"/>
                <c:pt idx="0">
                  <c:v>ОФ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Refl_R!$H$8:$H$41</c:f>
              <c:numCache>
                <c:formatCode>#,##0</c:formatCode>
                <c:ptCount val="34"/>
                <c:pt idx="0">
                  <c:v>663998.76369988162</c:v>
                </c:pt>
                <c:pt idx="1">
                  <c:v>884858.70150511106</c:v>
                </c:pt>
                <c:pt idx="2">
                  <c:v>1090317.1051120984</c:v>
                </c:pt>
                <c:pt idx="3">
                  <c:v>1303045.6589160857</c:v>
                </c:pt>
                <c:pt idx="4">
                  <c:v>1615629.3744707303</c:v>
                </c:pt>
                <c:pt idx="5">
                  <c:v>1992232.5563758044</c:v>
                </c:pt>
                <c:pt idx="6">
                  <c:v>2560198.7919133157</c:v>
                </c:pt>
                <c:pt idx="7">
                  <c:v>2993345.5938084461</c:v>
                </c:pt>
                <c:pt idx="8">
                  <c:v>3292699.1332117636</c:v>
                </c:pt>
                <c:pt idx="9">
                  <c:v>3631807.6</c:v>
                </c:pt>
                <c:pt idx="10">
                  <c:v>6188755.7403909471</c:v>
                </c:pt>
                <c:pt idx="11">
                  <c:v>7066670.2263727253</c:v>
                </c:pt>
                <c:pt idx="12">
                  <c:v>7517411.2509606024</c:v>
                </c:pt>
                <c:pt idx="13">
                  <c:v>7806214.914021723</c:v>
                </c:pt>
                <c:pt idx="14">
                  <c:v>8342022.5787704289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9438926.0500000007</c:v>
                </c:pt>
                <c:pt idx="18">
                  <c:v>9987984.4000000004</c:v>
                </c:pt>
                <c:pt idx="19">
                  <c:v>10979479.5</c:v>
                </c:pt>
                <c:pt idx="20">
                  <c:v>13819986.5</c:v>
                </c:pt>
                <c:pt idx="21">
                  <c:v>16660493.5</c:v>
                </c:pt>
                <c:pt idx="22">
                  <c:v>20267549.700000003</c:v>
                </c:pt>
                <c:pt idx="23" formatCode="0">
                  <c:v>18594505.235589996</c:v>
                </c:pt>
                <c:pt idx="24">
                  <c:v>18927639.868008383</c:v>
                </c:pt>
                <c:pt idx="25">
                  <c:v>20118893.799592562</c:v>
                </c:pt>
                <c:pt idx="26">
                  <c:v>21097068.233265396</c:v>
                </c:pt>
                <c:pt idx="27">
                  <c:v>21226846.681579359</c:v>
                </c:pt>
                <c:pt idx="28">
                  <c:v>22438886.346310817</c:v>
                </c:pt>
                <c:pt idx="29">
                  <c:v>24868258.55130342</c:v>
                </c:pt>
                <c:pt idx="30">
                  <c:v>29215344.150144849</c:v>
                </c:pt>
                <c:pt idx="31">
                  <c:v>35218846.82865677</c:v>
                </c:pt>
                <c:pt idx="32">
                  <c:v>41528942.169506043</c:v>
                </c:pt>
                <c:pt idx="33">
                  <c:v>45816479.754993737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F-4A47-A69E-9E0D73ECF932}"/>
            </c:ext>
          </c:extLst>
        </c:ser>
        <c:ser>
          <c:idx val="1"/>
          <c:order val="1"/>
          <c:tx>
            <c:strRef>
              <c:f>Refl_R!$J$7</c:f>
              <c:strCache>
                <c:ptCount val="1"/>
                <c:pt idx="0">
                  <c:v>ОФ( ВВП t+10)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Refl_R!$J$8:$J$41</c:f>
              <c:numCache>
                <c:formatCode>#,##0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5452194.0685231211</c:v>
                </c:pt>
                <c:pt idx="11">
                  <c:v>5942779.6800828204</c:v>
                </c:pt>
                <c:pt idx="12">
                  <c:v>6428431.7934559239</c:v>
                </c:pt>
                <c:pt idx="13">
                  <c:v>7045796.2948179888</c:v>
                </c:pt>
                <c:pt idx="14">
                  <c:v>7999293.9270177642</c:v>
                </c:pt>
                <c:pt idx="15">
                  <c:v>8922313.0554703549</c:v>
                </c:pt>
                <c:pt idx="16">
                  <c:v>10483735.963028587</c:v>
                </c:pt>
                <c:pt idx="17">
                  <c:v>11106288.823660597</c:v>
                </c:pt>
                <c:pt idx="18">
                  <c:v>11958669.105272964</c:v>
                </c:pt>
                <c:pt idx="19">
                  <c:v>13181367.404066108</c:v>
                </c:pt>
                <c:pt idx="20">
                  <c:v>15096138.131253995</c:v>
                </c:pt>
                <c:pt idx="21">
                  <c:v>16533158.870906916</c:v>
                </c:pt>
                <c:pt idx="22">
                  <c:v>16412805.028674334</c:v>
                </c:pt>
                <c:pt idx="23">
                  <c:v>17432182.249874957</c:v>
                </c:pt>
                <c:pt idx="24">
                  <c:v>18927639.868008383</c:v>
                </c:pt>
                <c:pt idx="25">
                  <c:v>20118893.799592562</c:v>
                </c:pt>
                <c:pt idx="26">
                  <c:v>21097068.233265396</c:v>
                </c:pt>
                <c:pt idx="27">
                  <c:v>21226846.681579359</c:v>
                </c:pt>
                <c:pt idx="28">
                  <c:v>22438886.346310817</c:v>
                </c:pt>
                <c:pt idx="29">
                  <c:v>24868258.55130342</c:v>
                </c:pt>
                <c:pt idx="30">
                  <c:v>29215344.150144849</c:v>
                </c:pt>
                <c:pt idx="31">
                  <c:v>35218846.82865677</c:v>
                </c:pt>
                <c:pt idx="32">
                  <c:v>41528942.169506043</c:v>
                </c:pt>
                <c:pt idx="33">
                  <c:v>45816479.754993737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5F-4A47-A69E-9E0D73ECF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604991"/>
        <c:axId val="1722610815"/>
      </c:lineChart>
      <c:catAx>
        <c:axId val="1722604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2610815"/>
        <c:crosses val="autoZero"/>
        <c:auto val="1"/>
        <c:lblAlgn val="ctr"/>
        <c:lblOffset val="100"/>
        <c:noMultiLvlLbl val="0"/>
      </c:catAx>
      <c:valAx>
        <c:axId val="172261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260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Итого!$D$7:$D$8</c:f>
              <c:strCache>
                <c:ptCount val="2"/>
                <c:pt idx="0">
                  <c:v>ВВП</c:v>
                </c:pt>
                <c:pt idx="1">
                  <c:v>1 523 670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Итого!$D$9:$D$41</c:f>
              <c:numCache>
                <c:formatCode>#,##0</c:formatCode>
                <c:ptCount val="33"/>
                <c:pt idx="0">
                  <c:v>1899714.2822209885</c:v>
                </c:pt>
                <c:pt idx="1">
                  <c:v>2271976.8034374709</c:v>
                </c:pt>
                <c:pt idx="2">
                  <c:v>2745199.6299384595</c:v>
                </c:pt>
                <c:pt idx="3">
                  <c:v>3476075.5445336094</c:v>
                </c:pt>
                <c:pt idx="4">
                  <c:v>4183589.0473623835</c:v>
                </c:pt>
                <c:pt idx="5">
                  <c:v>5380452.4239379605</c:v>
                </c:pt>
                <c:pt idx="6">
                  <c:v>5857652.2365358304</c:v>
                </c:pt>
                <c:pt idx="7">
                  <c:v>6511019.5831007604</c:v>
                </c:pt>
                <c:pt idx="8">
                  <c:v>7448243.4494492188</c:v>
                </c:pt>
                <c:pt idx="9">
                  <c:v>8915955.3337932099</c:v>
                </c:pt>
                <c:pt idx="10">
                  <c:v>10017461.84195617</c:v>
                </c:pt>
                <c:pt idx="11">
                  <c:v>9925208.0999999996</c:v>
                </c:pt>
                <c:pt idx="12">
                  <c:v>10706582.1</c:v>
                </c:pt>
                <c:pt idx="13">
                  <c:v>11852881.700000001</c:v>
                </c:pt>
                <c:pt idx="14">
                  <c:v>12766002.800000001</c:v>
                </c:pt>
                <c:pt idx="15">
                  <c:v>13515794</c:v>
                </c:pt>
                <c:pt idx="16">
                  <c:v>13615271.9</c:v>
                </c:pt>
                <c:pt idx="17">
                  <c:v>14544325.699999999</c:v>
                </c:pt>
                <c:pt idx="18">
                  <c:v>16406490.399999999</c:v>
                </c:pt>
                <c:pt idx="19">
                  <c:v>19738622.600000001</c:v>
                </c:pt>
                <c:pt idx="20">
                  <c:v>24340433.200000003</c:v>
                </c:pt>
                <c:pt idx="21">
                  <c:v>29177253.5</c:v>
                </c:pt>
                <c:pt idx="22">
                  <c:v>32463740.899999999</c:v>
                </c:pt>
                <c:pt idx="23">
                  <c:v>30053904.768634457</c:v>
                </c:pt>
                <c:pt idx="24">
                  <c:v>30955996.251069382</c:v>
                </c:pt>
                <c:pt idx="25">
                  <c:v>33940370.857294209</c:v>
                </c:pt>
                <c:pt idx="26">
                  <c:v>35891539.447756104</c:v>
                </c:pt>
                <c:pt idx="27">
                  <c:v>38237360.78544905</c:v>
                </c:pt>
                <c:pt idx="28">
                  <c:v>40464451.84749198</c:v>
                </c:pt>
                <c:pt idx="29">
                  <c:v>44281148.101388633</c:v>
                </c:pt>
                <c:pt idx="30">
                  <c:v>49956078.130045101</c:v>
                </c:pt>
                <c:pt idx="31">
                  <c:v>57542113.731368467</c:v>
                </c:pt>
                <c:pt idx="32">
                  <c:v>59962987.527579516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0-4AFD-A76C-7FE92C73762F}"/>
            </c:ext>
          </c:extLst>
        </c:ser>
        <c:ser>
          <c:idx val="1"/>
          <c:order val="1"/>
          <c:tx>
            <c:strRef>
              <c:f>Итого!$F$7:$F$8</c:f>
              <c:strCache>
                <c:ptCount val="2"/>
                <c:pt idx="0">
                  <c:v>ВВП( ОФ t+1)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Итого!$F$9:$F$41</c:f>
              <c:numCache>
                <c:formatCode>#,##0</c:formatCode>
                <c:ptCount val="33"/>
                <c:pt idx="0">
                  <c:v>2162803.2385817878</c:v>
                </c:pt>
                <c:pt idx="1">
                  <c:v>2506353.3194957832</c:v>
                </c:pt>
                <c:pt idx="2">
                  <c:v>2825946.1432784656</c:v>
                </c:pt>
                <c:pt idx="3">
                  <c:v>3156847.7662632875</c:v>
                </c:pt>
                <c:pt idx="4">
                  <c:v>3643075.1999860043</c:v>
                </c:pt>
                <c:pt idx="5">
                  <c:v>4228885.6231060866</c:v>
                </c:pt>
                <c:pt idx="6">
                  <c:v>5112363.3969131447</c:v>
                </c:pt>
                <c:pt idx="7">
                  <c:v>5786128.0475667194</c:v>
                </c:pt>
                <c:pt idx="8">
                  <c:v>6251775.7956639547</c:v>
                </c:pt>
                <c:pt idx="9">
                  <c:v>6779262.7738884017</c:v>
                </c:pt>
                <c:pt idx="10">
                  <c:v>10756623.943386121</c:v>
                </c:pt>
                <c:pt idx="11">
                  <c:v>12122229.655729428</c:v>
                </c:pt>
                <c:pt idx="12">
                  <c:v>12823362.314767765</c:v>
                </c:pt>
                <c:pt idx="13">
                  <c:v>13272599.613296775</c:v>
                </c:pt>
                <c:pt idx="14">
                  <c:v>14106054.373847732</c:v>
                </c:pt>
                <c:pt idx="15">
                  <c:v>14251128.370214971</c:v>
                </c:pt>
                <c:pt idx="16">
                  <c:v>14958233.531358575</c:v>
                </c:pt>
                <c:pt idx="17">
                  <c:v>15812299.879667301</c:v>
                </c:pt>
                <c:pt idx="18">
                  <c:v>16666366.227976028</c:v>
                </c:pt>
                <c:pt idx="19">
                  <c:v>18208647.844170365</c:v>
                </c:pt>
                <c:pt idx="20">
                  <c:v>22627087.962302398</c:v>
                </c:pt>
                <c:pt idx="21">
                  <c:v>27045528.08043443</c:v>
                </c:pt>
                <c:pt idx="22">
                  <c:v>32656343.97437058</c:v>
                </c:pt>
                <c:pt idx="23">
                  <c:v>30053904.768634457</c:v>
                </c:pt>
                <c:pt idx="24">
                  <c:v>30955996.251069382</c:v>
                </c:pt>
                <c:pt idx="25">
                  <c:v>33940370.857294209</c:v>
                </c:pt>
                <c:pt idx="26">
                  <c:v>35891539.447756104</c:v>
                </c:pt>
                <c:pt idx="27">
                  <c:v>38237360.78544905</c:v>
                </c:pt>
                <c:pt idx="28">
                  <c:v>40464451.84749198</c:v>
                </c:pt>
                <c:pt idx="29">
                  <c:v>44281148.101388633</c:v>
                </c:pt>
                <c:pt idx="30">
                  <c:v>49956078.130045101</c:v>
                </c:pt>
                <c:pt idx="31">
                  <c:v>57542113.731368467</c:v>
                </c:pt>
                <c:pt idx="32">
                  <c:v>59962987.527579516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60-4AFD-A76C-7FE92C737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973072"/>
        <c:axId val="1170791872"/>
      </c:lineChart>
      <c:catAx>
        <c:axId val="2054973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0791872"/>
        <c:crosses val="autoZero"/>
        <c:auto val="1"/>
        <c:lblAlgn val="ctr"/>
        <c:lblOffset val="100"/>
        <c:noMultiLvlLbl val="0"/>
      </c:catAx>
      <c:valAx>
        <c:axId val="11707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497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Итого!$H$7:$H$16</c:f>
              <c:strCache>
                <c:ptCount val="10"/>
                <c:pt idx="0">
                  <c:v>ОФ</c:v>
                </c:pt>
                <c:pt idx="1">
                  <c:v>663 999</c:v>
                </c:pt>
                <c:pt idx="2">
                  <c:v>884 859</c:v>
                </c:pt>
                <c:pt idx="3">
                  <c:v>1 090 317</c:v>
                </c:pt>
                <c:pt idx="4">
                  <c:v>1 303 046</c:v>
                </c:pt>
                <c:pt idx="5">
                  <c:v>1 615 629</c:v>
                </c:pt>
                <c:pt idx="6">
                  <c:v>1 992 233</c:v>
                </c:pt>
                <c:pt idx="7">
                  <c:v>2 560 199</c:v>
                </c:pt>
                <c:pt idx="8">
                  <c:v>2 993 346</c:v>
                </c:pt>
                <c:pt idx="9">
                  <c:v>3 292 699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Итого!$H$17:$H$41</c:f>
              <c:numCache>
                <c:formatCode>#,##0</c:formatCode>
                <c:ptCount val="25"/>
                <c:pt idx="0">
                  <c:v>3631807.6</c:v>
                </c:pt>
                <c:pt idx="1">
                  <c:v>6188755.7403909471</c:v>
                </c:pt>
                <c:pt idx="2">
                  <c:v>7066670.2263727253</c:v>
                </c:pt>
                <c:pt idx="3">
                  <c:v>7517411.2509606024</c:v>
                </c:pt>
                <c:pt idx="4">
                  <c:v>7806214.914021723</c:v>
                </c:pt>
                <c:pt idx="5">
                  <c:v>8342022.5787704289</c:v>
                </c:pt>
                <c:pt idx="6">
                  <c:v>8435287.0999999996</c:v>
                </c:pt>
                <c:pt idx="7">
                  <c:v>8889867.7000000011</c:v>
                </c:pt>
                <c:pt idx="8">
                  <c:v>9438926.0500000007</c:v>
                </c:pt>
                <c:pt idx="9">
                  <c:v>9987984.4000000004</c:v>
                </c:pt>
                <c:pt idx="10">
                  <c:v>10979479.5</c:v>
                </c:pt>
                <c:pt idx="11">
                  <c:v>13819986.5</c:v>
                </c:pt>
                <c:pt idx="12">
                  <c:v>16660493.5</c:v>
                </c:pt>
                <c:pt idx="13">
                  <c:v>20267549.700000003</c:v>
                </c:pt>
                <c:pt idx="14" formatCode="0">
                  <c:v>18594505.235589996</c:v>
                </c:pt>
                <c:pt idx="15">
                  <c:v>19174437.768789083</c:v>
                </c:pt>
                <c:pt idx="16">
                  <c:v>21093019.153385896</c:v>
                </c:pt>
                <c:pt idx="17">
                  <c:v>22347377.680650547</c:v>
                </c:pt>
                <c:pt idx="18">
                  <c:v>23855448.799035016</c:v>
                </c:pt>
                <c:pt idx="19">
                  <c:v>25287191.129413102</c:v>
                </c:pt>
                <c:pt idx="20">
                  <c:v>27740851.728224289</c:v>
                </c:pt>
                <c:pt idx="21">
                  <c:v>31389125.336088359</c:v>
                </c:pt>
                <c:pt idx="22">
                  <c:v>36266001.937715381</c:v>
                </c:pt>
                <c:pt idx="23">
                  <c:v>37822322.444591731</c:v>
                </c:pt>
                <c:pt idx="24">
                  <c:v>37993963.298808768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7-4282-8863-0EBDEF3C5852}"/>
            </c:ext>
          </c:extLst>
        </c:ser>
        <c:ser>
          <c:idx val="1"/>
          <c:order val="1"/>
          <c:tx>
            <c:strRef>
              <c:f>Итого!$J$7:$J$16</c:f>
              <c:strCache>
                <c:ptCount val="10"/>
                <c:pt idx="0">
                  <c:v>ОФ( ВВП t+9)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Итого!$J$17:$J$41</c:f>
              <c:numCache>
                <c:formatCode>#,##0</c:formatCode>
                <c:ptCount val="25"/>
                <c:pt idx="0">
                  <c:v>4536275.0093572922</c:v>
                </c:pt>
                <c:pt idx="1">
                  <c:v>5073228.9342201594</c:v>
                </c:pt>
                <c:pt idx="2">
                  <c:v>5381850.5200757384</c:v>
                </c:pt>
                <c:pt idx="3">
                  <c:v>6340777.3991978839</c:v>
                </c:pt>
                <c:pt idx="4">
                  <c:v>7130131.6340202186</c:v>
                </c:pt>
                <c:pt idx="5">
                  <c:v>8201595.0804461204</c:v>
                </c:pt>
                <c:pt idx="6">
                  <c:v>9595469.054418955</c:v>
                </c:pt>
                <c:pt idx="7">
                  <c:v>10415252.976473801</c:v>
                </c:pt>
                <c:pt idx="8">
                  <c:v>10779030.329094797</c:v>
                </c:pt>
                <c:pt idx="9">
                  <c:v>11604705.889872313</c:v>
                </c:pt>
                <c:pt idx="10">
                  <c:v>14094832.066811644</c:v>
                </c:pt>
                <c:pt idx="11">
                  <c:v>15582564.859797217</c:v>
                </c:pt>
                <c:pt idx="12">
                  <c:v>16275271.148764696</c:v>
                </c:pt>
                <c:pt idx="13">
                  <c:v>16042457.40370772</c:v>
                </c:pt>
                <c:pt idx="14">
                  <c:v>16573519.68984792</c:v>
                </c:pt>
                <c:pt idx="15">
                  <c:v>19174437.768789083</c:v>
                </c:pt>
                <c:pt idx="16">
                  <c:v>21093019.153385896</c:v>
                </c:pt>
                <c:pt idx="17">
                  <c:v>22347377.680650547</c:v>
                </c:pt>
                <c:pt idx="18">
                  <c:v>23855448.799035016</c:v>
                </c:pt>
                <c:pt idx="19">
                  <c:v>25287191.129413102</c:v>
                </c:pt>
                <c:pt idx="20">
                  <c:v>27740851.728224289</c:v>
                </c:pt>
                <c:pt idx="21">
                  <c:v>31389125.336088359</c:v>
                </c:pt>
                <c:pt idx="22">
                  <c:v>36266001.937715381</c:v>
                </c:pt>
                <c:pt idx="23">
                  <c:v>37822322.444591731</c:v>
                </c:pt>
                <c:pt idx="24">
                  <c:v>37993963.298808768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7-4282-8863-0EBDEF3C5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476800"/>
        <c:axId val="1173091264"/>
      </c:lineChart>
      <c:catAx>
        <c:axId val="1107476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3091264"/>
        <c:crosses val="autoZero"/>
        <c:auto val="1"/>
        <c:lblAlgn val="ctr"/>
        <c:lblOffset val="100"/>
        <c:noMultiLvlLbl val="0"/>
      </c:catAx>
      <c:valAx>
        <c:axId val="11730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747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Итого!$L$7:$L$14</c:f>
              <c:strCache>
                <c:ptCount val="8"/>
                <c:pt idx="0">
                  <c:v>ЗП</c:v>
                </c:pt>
                <c:pt idx="1">
                  <c:v>7 125</c:v>
                </c:pt>
                <c:pt idx="2">
                  <c:v>9 472</c:v>
                </c:pt>
                <c:pt idx="3">
                  <c:v>10 822</c:v>
                </c:pt>
                <c:pt idx="4">
                  <c:v>15 014</c:v>
                </c:pt>
                <c:pt idx="5">
                  <c:v>18 465</c:v>
                </c:pt>
                <c:pt idx="6">
                  <c:v>23 149</c:v>
                </c:pt>
                <c:pt idx="7">
                  <c:v>29 243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Итого!$L$15:$L$41</c:f>
              <c:numCache>
                <c:formatCode>#,##0</c:formatCode>
                <c:ptCount val="27"/>
                <c:pt idx="0">
                  <c:v>32827.12981312503</c:v>
                </c:pt>
                <c:pt idx="1">
                  <c:v>34417.519307577262</c:v>
                </c:pt>
                <c:pt idx="2">
                  <c:v>38027.270514532211</c:v>
                </c:pt>
                <c:pt idx="3">
                  <c:v>48913.793502099419</c:v>
                </c:pt>
                <c:pt idx="4">
                  <c:v>55417.97686444701</c:v>
                </c:pt>
                <c:pt idx="5">
                  <c:v>58446.402896956672</c:v>
                </c:pt>
                <c:pt idx="6">
                  <c:v>57428.570061473758</c:v>
                </c:pt>
                <c:pt idx="7">
                  <c:v>59750.30854984279</c:v>
                </c:pt>
                <c:pt idx="8">
                  <c:v>71121.2</c:v>
                </c:pt>
                <c:pt idx="9">
                  <c:v>79509</c:v>
                </c:pt>
                <c:pt idx="10">
                  <c:v>84992.9</c:v>
                </c:pt>
                <c:pt idx="11">
                  <c:v>91586</c:v>
                </c:pt>
                <c:pt idx="12">
                  <c:v>97845.4</c:v>
                </c:pt>
                <c:pt idx="13">
                  <c:v>108572.5</c:v>
                </c:pt>
                <c:pt idx="14">
                  <c:v>124522.3</c:v>
                </c:pt>
                <c:pt idx="15">
                  <c:v>145843.40000000002</c:v>
                </c:pt>
                <c:pt idx="16" formatCode="0">
                  <c:v>152647.44034584163</c:v>
                </c:pt>
                <c:pt idx="17">
                  <c:v>153397.832885121</c:v>
                </c:pt>
                <c:pt idx="18">
                  <c:v>159257.10776299634</c:v>
                </c:pt>
                <c:pt idx="19">
                  <c:v>165816.40862458938</c:v>
                </c:pt>
                <c:pt idx="20">
                  <c:v>190265.72831888392</c:v>
                </c:pt>
                <c:pt idx="21">
                  <c:v>214884.1851471751</c:v>
                </c:pt>
                <c:pt idx="22">
                  <c:v>245108.16895943356</c:v>
                </c:pt>
                <c:pt idx="23">
                  <c:v>230139.7431574603</c:v>
                </c:pt>
                <c:pt idx="24">
                  <c:v>233790.35706025135</c:v>
                </c:pt>
                <c:pt idx="25">
                  <c:v>249931.06827449339</c:v>
                </c:pt>
                <c:pt idx="26">
                  <c:v>260159.83517395734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5-42C0-BA61-53F2B34D3BBB}"/>
            </c:ext>
          </c:extLst>
        </c:ser>
        <c:ser>
          <c:idx val="1"/>
          <c:order val="1"/>
          <c:tx>
            <c:strRef>
              <c:f>Итого!$O$7:$O$14</c:f>
              <c:strCache>
                <c:ptCount val="8"/>
                <c:pt idx="0">
                  <c:v>ЗП( ОФ t+7)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Итого!$O$15:$O$41</c:f>
              <c:numCache>
                <c:formatCode>#,##0</c:formatCode>
                <c:ptCount val="27"/>
                <c:pt idx="0">
                  <c:v>32243.793085069956</c:v>
                </c:pt>
                <c:pt idx="1">
                  <c:v>35511.612753722096</c:v>
                </c:pt>
                <c:pt idx="2">
                  <c:v>38644.432909263844</c:v>
                </c:pt>
                <c:pt idx="3">
                  <c:v>41840.978322575444</c:v>
                </c:pt>
                <c:pt idx="4">
                  <c:v>47155.572674557996</c:v>
                </c:pt>
                <c:pt idx="5">
                  <c:v>54491.963138539148</c:v>
                </c:pt>
                <c:pt idx="6">
                  <c:v>63381.930284164795</c:v>
                </c:pt>
                <c:pt idx="7">
                  <c:v>71311.10138248658</c:v>
                </c:pt>
                <c:pt idx="8">
                  <c:v>73962.029694812547</c:v>
                </c:pt>
                <c:pt idx="9">
                  <c:v>73420.643994469341</c:v>
                </c:pt>
                <c:pt idx="10">
                  <c:v>93958.764976520673</c:v>
                </c:pt>
                <c:pt idx="11">
                  <c:v>101486.80923736485</c:v>
                </c:pt>
                <c:pt idx="12">
                  <c:v>105451.18744465034</c:v>
                </c:pt>
                <c:pt idx="13">
                  <c:v>107830.07262264864</c:v>
                </c:pt>
                <c:pt idx="14">
                  <c:v>110277.12403886105</c:v>
                </c:pt>
                <c:pt idx="15">
                  <c:v>142385.28907250109</c:v>
                </c:pt>
                <c:pt idx="16">
                  <c:v>148515.80622368801</c:v>
                </c:pt>
                <c:pt idx="17">
                  <c:v>153397.832885121</c:v>
                </c:pt>
                <c:pt idx="18">
                  <c:v>159257.10776299634</c:v>
                </c:pt>
                <c:pt idx="19">
                  <c:v>165816.40862458938</c:v>
                </c:pt>
                <c:pt idx="20">
                  <c:v>190265.72831888392</c:v>
                </c:pt>
                <c:pt idx="21">
                  <c:v>214884.1851471751</c:v>
                </c:pt>
                <c:pt idx="22">
                  <c:v>245108.16895943356</c:v>
                </c:pt>
                <c:pt idx="23">
                  <c:v>230139.7431574603</c:v>
                </c:pt>
                <c:pt idx="24">
                  <c:v>233790.35706025135</c:v>
                </c:pt>
                <c:pt idx="25">
                  <c:v>249931.06827449339</c:v>
                </c:pt>
                <c:pt idx="26">
                  <c:v>260159.83517395734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5-42C0-BA61-53F2B34D3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276256"/>
        <c:axId val="1640013968"/>
      </c:lineChart>
      <c:catAx>
        <c:axId val="1173276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0013968"/>
        <c:crosses val="autoZero"/>
        <c:auto val="1"/>
        <c:lblAlgn val="ctr"/>
        <c:lblOffset val="100"/>
        <c:noMultiLvlLbl val="0"/>
      </c:catAx>
      <c:valAx>
        <c:axId val="164001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327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Итого!$Q$7:$Q$24</c:f>
              <c:strCache>
                <c:ptCount val="18"/>
                <c:pt idx="0">
                  <c:v>ССЧ</c:v>
                </c:pt>
                <c:pt idx="1">
                  <c:v>3 013</c:v>
                </c:pt>
                <c:pt idx="2">
                  <c:v>3 064</c:v>
                </c:pt>
                <c:pt idx="3">
                  <c:v>3 114</c:v>
                </c:pt>
                <c:pt idx="4">
                  <c:v>3 165</c:v>
                </c:pt>
                <c:pt idx="5">
                  <c:v>3 263</c:v>
                </c:pt>
                <c:pt idx="6">
                  <c:v>3 416</c:v>
                </c:pt>
                <c:pt idx="7">
                  <c:v>3 564</c:v>
                </c:pt>
                <c:pt idx="8">
                  <c:v>3 721</c:v>
                </c:pt>
                <c:pt idx="9">
                  <c:v>3 722</c:v>
                </c:pt>
                <c:pt idx="10">
                  <c:v>3 589</c:v>
                </c:pt>
                <c:pt idx="11">
                  <c:v>3 518</c:v>
                </c:pt>
                <c:pt idx="12">
                  <c:v>3 511</c:v>
                </c:pt>
                <c:pt idx="13">
                  <c:v>3 512</c:v>
                </c:pt>
                <c:pt idx="14">
                  <c:v>3 506</c:v>
                </c:pt>
                <c:pt idx="15">
                  <c:v>3 421</c:v>
                </c:pt>
                <c:pt idx="16">
                  <c:v>4 609</c:v>
                </c:pt>
                <c:pt idx="17">
                  <c:v>4 690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Итого!$Q$25:$Q$41</c:f>
              <c:numCache>
                <c:formatCode>#,##0</c:formatCode>
                <c:ptCount val="17"/>
                <c:pt idx="0">
                  <c:v>4692.8642</c:v>
                </c:pt>
                <c:pt idx="1">
                  <c:v>4732.6019299999998</c:v>
                </c:pt>
                <c:pt idx="2">
                  <c:v>4651.6728800000001</c:v>
                </c:pt>
                <c:pt idx="3">
                  <c:v>4634.6379999999999</c:v>
                </c:pt>
                <c:pt idx="4">
                  <c:v>4624.0249999999996</c:v>
                </c:pt>
                <c:pt idx="5">
                  <c:v>4571.1329999999998</c:v>
                </c:pt>
                <c:pt idx="6" formatCode="0">
                  <c:v>4559.604221119982</c:v>
                </c:pt>
                <c:pt idx="7">
                  <c:v>4505.2073293642143</c:v>
                </c:pt>
                <c:pt idx="8">
                  <c:v>4479.529789594777</c:v>
                </c:pt>
                <c:pt idx="9">
                  <c:v>4450.4422058653045</c:v>
                </c:pt>
                <c:pt idx="10">
                  <c:v>4371.2406915514648</c:v>
                </c:pt>
                <c:pt idx="11">
                  <c:v>4315.8137503661637</c:v>
                </c:pt>
                <c:pt idx="12">
                  <c:v>4300.0312435857941</c:v>
                </c:pt>
                <c:pt idx="13">
                  <c:v>4261.9692273166456</c:v>
                </c:pt>
                <c:pt idx="14">
                  <c:v>4228.5853548270934</c:v>
                </c:pt>
                <c:pt idx="15">
                  <c:v>4199.9675108313659</c:v>
                </c:pt>
                <c:pt idx="16">
                  <c:v>4169.6811897604002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D-4B96-B856-BF7D66129251}"/>
            </c:ext>
          </c:extLst>
        </c:ser>
        <c:ser>
          <c:idx val="1"/>
          <c:order val="1"/>
          <c:tx>
            <c:strRef>
              <c:f>Итого!$S$7:$S$24</c:f>
              <c:strCache>
                <c:ptCount val="18"/>
                <c:pt idx="0">
                  <c:v>ССЧ( ВДС t+17)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Итого!$S$25:$S$41</c:f>
              <c:numCache>
                <c:formatCode>#,##0</c:formatCode>
                <c:ptCount val="17"/>
                <c:pt idx="0">
                  <c:v>4705.0108659655989</c:v>
                </c:pt>
                <c:pt idx="1">
                  <c:v>4686.0662433372072</c:v>
                </c:pt>
                <c:pt idx="2">
                  <c:v>4668.4427125110842</c:v>
                </c:pt>
                <c:pt idx="3">
                  <c:v>4650.1955726533606</c:v>
                </c:pt>
                <c:pt idx="4">
                  <c:v>4623.3831928718118</c:v>
                </c:pt>
                <c:pt idx="5">
                  <c:v>4591.0794385887011</c:v>
                </c:pt>
                <c:pt idx="6">
                  <c:v>4542.3612051922255</c:v>
                </c:pt>
                <c:pt idx="7">
                  <c:v>4505.2073293642143</c:v>
                </c:pt>
                <c:pt idx="8">
                  <c:v>4479.529789594777</c:v>
                </c:pt>
                <c:pt idx="9">
                  <c:v>4450.4422058653045</c:v>
                </c:pt>
                <c:pt idx="10">
                  <c:v>4371.2406915514648</c:v>
                </c:pt>
                <c:pt idx="11">
                  <c:v>4315.8137503661637</c:v>
                </c:pt>
                <c:pt idx="12">
                  <c:v>4300.0312435857941</c:v>
                </c:pt>
                <c:pt idx="13">
                  <c:v>4261.9692273166456</c:v>
                </c:pt>
                <c:pt idx="14">
                  <c:v>4228.5853548270934</c:v>
                </c:pt>
                <c:pt idx="15">
                  <c:v>4199.9675108313659</c:v>
                </c:pt>
                <c:pt idx="16">
                  <c:v>4169.6811897604002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D-4B96-B856-BF7D66129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805712"/>
        <c:axId val="1183687840"/>
      </c:lineChart>
      <c:catAx>
        <c:axId val="1183805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3687840"/>
        <c:crosses val="autoZero"/>
        <c:auto val="1"/>
        <c:lblAlgn val="ctr"/>
        <c:lblOffset val="100"/>
        <c:noMultiLvlLbl val="0"/>
      </c:catAx>
      <c:valAx>
        <c:axId val="118368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380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Итого!$U$7:$U$17</c:f>
              <c:strCache>
                <c:ptCount val="11"/>
                <c:pt idx="0">
                  <c:v>ВДС</c:v>
                </c:pt>
                <c:pt idx="1">
                  <c:v>854 871</c:v>
                </c:pt>
                <c:pt idx="2">
                  <c:v>1 139 219</c:v>
                </c:pt>
                <c:pt idx="3">
                  <c:v>1 403 739</c:v>
                </c:pt>
                <c:pt idx="4">
                  <c:v>1 677 618</c:v>
                </c:pt>
                <c:pt idx="5">
                  <c:v>2 080 056</c:v>
                </c:pt>
                <c:pt idx="6">
                  <c:v>2 564 918</c:v>
                </c:pt>
                <c:pt idx="7">
                  <c:v>3 296 151</c:v>
                </c:pt>
                <c:pt idx="8">
                  <c:v>3 853 810</c:v>
                </c:pt>
                <c:pt idx="9">
                  <c:v>4 239 215</c:v>
                </c:pt>
                <c:pt idx="10">
                  <c:v>4 675 803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Итого!$U$18:$U$41</c:f>
              <c:numCache>
                <c:formatCode>#,##0</c:formatCode>
                <c:ptCount val="24"/>
                <c:pt idx="0">
                  <c:v>5864573.2429680433</c:v>
                </c:pt>
                <c:pt idx="1">
                  <c:v>6696500.3734088941</c:v>
                </c:pt>
                <c:pt idx="2">
                  <c:v>6933386.9000000004</c:v>
                </c:pt>
                <c:pt idx="3">
                  <c:v>7504676.2999999998</c:v>
                </c:pt>
                <c:pt idx="4">
                  <c:v>8005749.4000000004</c:v>
                </c:pt>
                <c:pt idx="5">
                  <c:v>8435287.0999999996</c:v>
                </c:pt>
                <c:pt idx="6">
                  <c:v>8889867.7000000011</c:v>
                </c:pt>
                <c:pt idx="7">
                  <c:v>9318440.1999999993</c:v>
                </c:pt>
                <c:pt idx="8">
                  <c:v>9987984.4000000004</c:v>
                </c:pt>
                <c:pt idx="9">
                  <c:v>12989466.85</c:v>
                </c:pt>
                <c:pt idx="10">
                  <c:v>15127767.050000001</c:v>
                </c:pt>
                <c:pt idx="11">
                  <c:v>16660493.5</c:v>
                </c:pt>
                <c:pt idx="12">
                  <c:v>20267549.700000003</c:v>
                </c:pt>
                <c:pt idx="13" formatCode="0">
                  <c:v>22639157.185240481</c:v>
                </c:pt>
                <c:pt idx="14">
                  <c:v>20833113.970693894</c:v>
                </c:pt>
                <c:pt idx="15">
                  <c:v>22253522.966852374</c:v>
                </c:pt>
                <c:pt idx="16">
                  <c:v>23419863.516556524</c:v>
                </c:pt>
                <c:pt idx="17">
                  <c:v>23574606.741829664</c:v>
                </c:pt>
                <c:pt idx="18">
                  <c:v>25019799.910003319</c:v>
                </c:pt>
                <c:pt idx="19">
                  <c:v>27916497.28366904</c:v>
                </c:pt>
                <c:pt idx="20">
                  <c:v>33099808.186537609</c:v>
                </c:pt>
                <c:pt idx="21">
                  <c:v>40258172.1481824</c:v>
                </c:pt>
                <c:pt idx="22">
                  <c:v>47782106.341491416</c:v>
                </c:pt>
                <c:pt idx="23">
                  <c:v>52894414.302310064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92-4E31-8E8A-1A8A895E58F8}"/>
            </c:ext>
          </c:extLst>
        </c:ser>
        <c:ser>
          <c:idx val="1"/>
          <c:order val="1"/>
          <c:tx>
            <c:strRef>
              <c:f>Итого!$W$7:$W$17</c:f>
              <c:strCache>
                <c:ptCount val="11"/>
                <c:pt idx="0">
                  <c:v>ВДС( ССЧ t+10)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Итого!$W$18:$W$41</c:f>
              <c:numCache>
                <c:formatCode>#,##0</c:formatCode>
                <c:ptCount val="24"/>
                <c:pt idx="0">
                  <c:v>4765469.6730748229</c:v>
                </c:pt>
                <c:pt idx="1">
                  <c:v>5350426.5807247534</c:v>
                </c:pt>
                <c:pt idx="2">
                  <c:v>5929500.9598717559</c:v>
                </c:pt>
                <c:pt idx="3">
                  <c:v>6665624.5254640374</c:v>
                </c:pt>
                <c:pt idx="4">
                  <c:v>7802541.3310953015</c:v>
                </c:pt>
                <c:pt idx="5">
                  <c:v>8903116.6483468544</c:v>
                </c:pt>
                <c:pt idx="6">
                  <c:v>10764902.020802449</c:v>
                </c:pt>
                <c:pt idx="7">
                  <c:v>11507212.002226768</c:v>
                </c:pt>
                <c:pt idx="8">
                  <c:v>12523560.06039454</c:v>
                </c:pt>
                <c:pt idx="9">
                  <c:v>13981462.206315581</c:v>
                </c:pt>
                <c:pt idx="10">
                  <c:v>16264567.004015377</c:v>
                </c:pt>
                <c:pt idx="11">
                  <c:v>17978019.637539867</c:v>
                </c:pt>
                <c:pt idx="12">
                  <c:v>17834513.978757229</c:v>
                </c:pt>
                <c:pt idx="13">
                  <c:v>19049983.272988118</c:v>
                </c:pt>
                <c:pt idx="14">
                  <c:v>20833113.970693894</c:v>
                </c:pt>
                <c:pt idx="15">
                  <c:v>22253522.966852374</c:v>
                </c:pt>
                <c:pt idx="16">
                  <c:v>23419863.516556524</c:v>
                </c:pt>
                <c:pt idx="17">
                  <c:v>23574606.741829664</c:v>
                </c:pt>
                <c:pt idx="18">
                  <c:v>25019799.910003319</c:v>
                </c:pt>
                <c:pt idx="19">
                  <c:v>27916497.28366904</c:v>
                </c:pt>
                <c:pt idx="20">
                  <c:v>33099808.186537609</c:v>
                </c:pt>
                <c:pt idx="21">
                  <c:v>40258172.1481824</c:v>
                </c:pt>
                <c:pt idx="22">
                  <c:v>47782106.341491416</c:v>
                </c:pt>
                <c:pt idx="23">
                  <c:v>52894414.302310064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92-4E31-8E8A-1A8A895E5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725744"/>
        <c:axId val="1169715728"/>
      </c:lineChart>
      <c:catAx>
        <c:axId val="1178725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715728"/>
        <c:crosses val="autoZero"/>
        <c:auto val="1"/>
        <c:lblAlgn val="ctr"/>
        <c:lblOffset val="100"/>
        <c:noMultiLvlLbl val="0"/>
      </c:catAx>
      <c:valAx>
        <c:axId val="116971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872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5" fmlaLink="$F$3" max="20" page="10" val="5"/>
</file>

<file path=xl/ctrlProps/ctrlProp2.xml><?xml version="1.0" encoding="utf-8"?>
<formControlPr xmlns="http://schemas.microsoft.com/office/spreadsheetml/2009/9/main" objectType="Spin" dx="15" fmlaLink="$F$3" max="20" min="1" page="10"/>
</file>

<file path=xl/ctrlProps/ctrlProp3.xml><?xml version="1.0" encoding="utf-8"?>
<formControlPr xmlns="http://schemas.microsoft.com/office/spreadsheetml/2009/9/main" objectType="Spin" dx="15" fmlaLink="$J$3" max="20" min="1" page="10" val="10"/>
</file>

<file path=xl/ctrlProps/ctrlProp4.xml><?xml version="1.0" encoding="utf-8"?>
<formControlPr xmlns="http://schemas.microsoft.com/office/spreadsheetml/2009/9/main" objectType="Spin" dx="15" fmlaLink="$F$3" max="20" min="1" page="10"/>
</file>

<file path=xl/ctrlProps/ctrlProp5.xml><?xml version="1.0" encoding="utf-8"?>
<formControlPr xmlns="http://schemas.microsoft.com/office/spreadsheetml/2009/9/main" objectType="Spin" dx="15" fmlaLink="$J$3" max="20" min="1" page="10" val="9"/>
</file>

<file path=xl/ctrlProps/ctrlProp6.xml><?xml version="1.0" encoding="utf-8"?>
<formControlPr xmlns="http://schemas.microsoft.com/office/spreadsheetml/2009/9/main" objectType="Spin" dx="15" fmlaLink="$O$3" max="20" min="1" page="10" val="7"/>
</file>

<file path=xl/ctrlProps/ctrlProp7.xml><?xml version="1.0" encoding="utf-8"?>
<formControlPr xmlns="http://schemas.microsoft.com/office/spreadsheetml/2009/9/main" objectType="Spin" dx="15" fmlaLink="$S$3" max="20" min="1" page="10" val="17"/>
</file>

<file path=xl/ctrlProps/ctrlProp8.xml><?xml version="1.0" encoding="utf-8"?>
<formControlPr xmlns="http://schemas.microsoft.com/office/spreadsheetml/2009/9/main" objectType="Spin" dx="15" fmlaLink="$W$3" max="20" min="1" page="10" val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695325</xdr:colOff>
          <xdr:row>0</xdr:row>
          <xdr:rowOff>142875</xdr:rowOff>
        </xdr:from>
        <xdr:to>
          <xdr:col>6</xdr:col>
          <xdr:colOff>28575</xdr:colOff>
          <xdr:row>3</xdr:row>
          <xdr:rowOff>114300</xdr:rowOff>
        </xdr:to>
        <xdr:sp macro="" textlink="">
          <xdr:nvSpPr>
            <xdr:cNvPr id="4099" name="Spinner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8466</xdr:colOff>
      <xdr:row>41</xdr:row>
      <xdr:rowOff>143932</xdr:rowOff>
    </xdr:from>
    <xdr:to>
      <xdr:col>8</xdr:col>
      <xdr:colOff>524932</xdr:colOff>
      <xdr:row>61</xdr:row>
      <xdr:rowOff>84667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376441</xdr:colOff>
      <xdr:row>43</xdr:row>
      <xdr:rowOff>22143</xdr:rowOff>
    </xdr:from>
    <xdr:to>
      <xdr:col>9</xdr:col>
      <xdr:colOff>901002</xdr:colOff>
      <xdr:row>57</xdr:row>
      <xdr:rowOff>32936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376441</xdr:colOff>
      <xdr:row>57</xdr:row>
      <xdr:rowOff>25120</xdr:rowOff>
    </xdr:from>
    <xdr:to>
      <xdr:col>9</xdr:col>
      <xdr:colOff>901002</xdr:colOff>
      <xdr:row>71</xdr:row>
      <xdr:rowOff>32935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866775</xdr:colOff>
          <xdr:row>1</xdr:row>
          <xdr:rowOff>9525</xdr:rowOff>
        </xdr:from>
        <xdr:to>
          <xdr:col>6</xdr:col>
          <xdr:colOff>142875</xdr:colOff>
          <xdr:row>3</xdr:row>
          <xdr:rowOff>123825</xdr:rowOff>
        </xdr:to>
        <xdr:sp macro="" textlink="">
          <xdr:nvSpPr>
            <xdr:cNvPr id="8241" name="Spinner 49" hidden="1">
              <a:extLst>
                <a:ext uri="{63B3BB69-23CF-44E3-9099-C40C66FF867C}">
                  <a14:compatExt spid="_x0000_s8241"/>
                </a:ext>
                <a:ext uri="{FF2B5EF4-FFF2-40B4-BE49-F238E27FC236}">
                  <a16:creationId xmlns:a16="http://schemas.microsoft.com/office/drawing/2014/main" id="{00000000-0008-0000-0200-00003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876300</xdr:colOff>
          <xdr:row>0</xdr:row>
          <xdr:rowOff>190500</xdr:rowOff>
        </xdr:from>
        <xdr:to>
          <xdr:col>10</xdr:col>
          <xdr:colOff>152400</xdr:colOff>
          <xdr:row>3</xdr:row>
          <xdr:rowOff>114300</xdr:rowOff>
        </xdr:to>
        <xdr:sp macro="" textlink="">
          <xdr:nvSpPr>
            <xdr:cNvPr id="8242" name="Spinner 50" hidden="1">
              <a:extLst>
                <a:ext uri="{63B3BB69-23CF-44E3-9099-C40C66FF867C}">
                  <a14:compatExt spid="_x0000_s8242"/>
                </a:ext>
                <a:ext uri="{FF2B5EF4-FFF2-40B4-BE49-F238E27FC236}">
                  <a16:creationId xmlns:a16="http://schemas.microsoft.com/office/drawing/2014/main" id="{00000000-0008-0000-0200-00003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866775</xdr:colOff>
          <xdr:row>1</xdr:row>
          <xdr:rowOff>9525</xdr:rowOff>
        </xdr:from>
        <xdr:to>
          <xdr:col>6</xdr:col>
          <xdr:colOff>142875</xdr:colOff>
          <xdr:row>3</xdr:row>
          <xdr:rowOff>123825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3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876300</xdr:colOff>
          <xdr:row>1</xdr:row>
          <xdr:rowOff>190500</xdr:rowOff>
        </xdr:from>
        <xdr:to>
          <xdr:col>10</xdr:col>
          <xdr:colOff>152400</xdr:colOff>
          <xdr:row>3</xdr:row>
          <xdr:rowOff>114300</xdr:rowOff>
        </xdr:to>
        <xdr:sp macro="" textlink="">
          <xdr:nvSpPr>
            <xdr:cNvPr id="10242" name="Spinner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3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876300</xdr:colOff>
          <xdr:row>1</xdr:row>
          <xdr:rowOff>190500</xdr:rowOff>
        </xdr:from>
        <xdr:to>
          <xdr:col>15</xdr:col>
          <xdr:colOff>152400</xdr:colOff>
          <xdr:row>3</xdr:row>
          <xdr:rowOff>114300</xdr:rowOff>
        </xdr:to>
        <xdr:sp macro="" textlink="">
          <xdr:nvSpPr>
            <xdr:cNvPr id="10243" name="Spinner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3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876300</xdr:colOff>
          <xdr:row>1</xdr:row>
          <xdr:rowOff>190500</xdr:rowOff>
        </xdr:from>
        <xdr:to>
          <xdr:col>19</xdr:col>
          <xdr:colOff>152400</xdr:colOff>
          <xdr:row>3</xdr:row>
          <xdr:rowOff>114300</xdr:rowOff>
        </xdr:to>
        <xdr:sp macro="" textlink="">
          <xdr:nvSpPr>
            <xdr:cNvPr id="10244" name="Spinner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3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876300</xdr:colOff>
          <xdr:row>1</xdr:row>
          <xdr:rowOff>190500</xdr:rowOff>
        </xdr:from>
        <xdr:to>
          <xdr:col>23</xdr:col>
          <xdr:colOff>152400</xdr:colOff>
          <xdr:row>3</xdr:row>
          <xdr:rowOff>114300</xdr:rowOff>
        </xdr:to>
        <xdr:sp macro="" textlink="">
          <xdr:nvSpPr>
            <xdr:cNvPr id="10245" name="Spinner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3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42</xdr:row>
      <xdr:rowOff>34848</xdr:rowOff>
    </xdr:from>
    <xdr:to>
      <xdr:col>6</xdr:col>
      <xdr:colOff>23231</xdr:colOff>
      <xdr:row>57</xdr:row>
      <xdr:rowOff>104542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4977D6D-3BC6-4897-BCDF-1F7EA35ED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263678</xdr:colOff>
      <xdr:row>42</xdr:row>
      <xdr:rowOff>97805</xdr:rowOff>
    </xdr:from>
    <xdr:to>
      <xdr:col>10</xdr:col>
      <xdr:colOff>11616</xdr:colOff>
      <xdr:row>57</xdr:row>
      <xdr:rowOff>139389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643E618-6AFB-4CFF-A5CC-FCFF34AAE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31362</xdr:colOff>
      <xdr:row>42</xdr:row>
      <xdr:rowOff>74574</xdr:rowOff>
    </xdr:from>
    <xdr:to>
      <xdr:col>15</xdr:col>
      <xdr:colOff>0</xdr:colOff>
      <xdr:row>57</xdr:row>
      <xdr:rowOff>116159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2F4CF404-6EFB-4D4A-8C76-594844449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542459</xdr:colOff>
      <xdr:row>42</xdr:row>
      <xdr:rowOff>16494</xdr:rowOff>
    </xdr:from>
    <xdr:to>
      <xdr:col>19</xdr:col>
      <xdr:colOff>34847</xdr:colOff>
      <xdr:row>58</xdr:row>
      <xdr:rowOff>46463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AB14240D-DD6D-4BD5-9E0D-717D1EF8C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554075</xdr:colOff>
      <xdr:row>42</xdr:row>
      <xdr:rowOff>51342</xdr:rowOff>
    </xdr:from>
    <xdr:to>
      <xdr:col>23</xdr:col>
      <xdr:colOff>81311</xdr:colOff>
      <xdr:row>57</xdr:row>
      <xdr:rowOff>81311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AF1415FF-E70D-4F28-AADD-251640168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469447</xdr:colOff>
      <xdr:row>2</xdr:row>
      <xdr:rowOff>171450</xdr:rowOff>
    </xdr:from>
    <xdr:to>
      <xdr:col>4</xdr:col>
      <xdr:colOff>240848</xdr:colOff>
      <xdr:row>4</xdr:row>
      <xdr:rowOff>38100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299483" y="552450"/>
          <a:ext cx="587829" cy="247650"/>
        </a:xfrm>
        <a:prstGeom prst="ellipse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581025</xdr:colOff>
      <xdr:row>1</xdr:row>
      <xdr:rowOff>152399</xdr:rowOff>
    </xdr:from>
    <xdr:to>
      <xdr:col>25</xdr:col>
      <xdr:colOff>304800</xdr:colOff>
      <xdr:row>6</xdr:row>
      <xdr:rowOff>180975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4182725" y="342899"/>
          <a:ext cx="942975" cy="98107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ysClr val="windowText" lastClr="000000"/>
              </a:solidFill>
            </a:rPr>
            <a:t>ВВП</a:t>
          </a:r>
        </a:p>
      </xdr:txBody>
    </xdr:sp>
    <xdr:clientData/>
  </xdr:twoCellAnchor>
  <xdr:twoCellAnchor>
    <xdr:from>
      <xdr:col>27</xdr:col>
      <xdr:colOff>590550</xdr:colOff>
      <xdr:row>1</xdr:row>
      <xdr:rowOff>133350</xdr:rowOff>
    </xdr:from>
    <xdr:to>
      <xdr:col>29</xdr:col>
      <xdr:colOff>314325</xdr:colOff>
      <xdr:row>6</xdr:row>
      <xdr:rowOff>161926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6630650" y="323850"/>
          <a:ext cx="942975" cy="98107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ru-RU" sz="1100">
              <a:solidFill>
                <a:sysClr val="windowText" lastClr="000000"/>
              </a:solidFill>
            </a:rPr>
            <a:t>Зарплата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552450</xdr:colOff>
      <xdr:row>9</xdr:row>
      <xdr:rowOff>428625</xdr:rowOff>
    </xdr:from>
    <xdr:to>
      <xdr:col>25</xdr:col>
      <xdr:colOff>276225</xdr:colOff>
      <xdr:row>14</xdr:row>
      <xdr:rowOff>38101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4154150" y="2143125"/>
          <a:ext cx="942975" cy="98107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ru-RU" sz="1100">
              <a:solidFill>
                <a:sysClr val="windowText" lastClr="000000"/>
              </a:solidFill>
            </a:rPr>
            <a:t>Ввод</a:t>
          </a:r>
          <a:r>
            <a:rPr lang="ru-RU" sz="1100" baseline="0">
              <a:solidFill>
                <a:sysClr val="windowText" lastClr="000000"/>
              </a:solidFill>
            </a:rPr>
            <a:t> фондов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38100</xdr:colOff>
      <xdr:row>6</xdr:row>
      <xdr:rowOff>149679</xdr:rowOff>
    </xdr:from>
    <xdr:to>
      <xdr:col>27</xdr:col>
      <xdr:colOff>371475</xdr:colOff>
      <xdr:row>9</xdr:row>
      <xdr:rowOff>563337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6067314" y="1292679"/>
          <a:ext cx="945697" cy="985158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ru-RU" sz="1100">
              <a:solidFill>
                <a:sysClr val="windowText" lastClr="000000"/>
              </a:solidFill>
            </a:rPr>
            <a:t>ВДС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9525</xdr:colOff>
      <xdr:row>9</xdr:row>
      <xdr:rowOff>438150</xdr:rowOff>
    </xdr:from>
    <xdr:to>
      <xdr:col>29</xdr:col>
      <xdr:colOff>342900</xdr:colOff>
      <xdr:row>14</xdr:row>
      <xdr:rowOff>47626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6659225" y="2152650"/>
          <a:ext cx="942975" cy="98107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ru-RU" sz="1100">
              <a:solidFill>
                <a:sysClr val="windowText" lastClr="000000"/>
              </a:solidFill>
            </a:rPr>
            <a:t>Численность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442913</xdr:colOff>
      <xdr:row>16</xdr:row>
      <xdr:rowOff>140153</xdr:rowOff>
    </xdr:from>
    <xdr:to>
      <xdr:col>25</xdr:col>
      <xdr:colOff>122464</xdr:colOff>
      <xdr:row>21</xdr:row>
      <xdr:rowOff>163285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/>
      </xdr:nvCxnSpPr>
      <xdr:spPr>
        <a:xfrm>
          <a:off x="15247484" y="3623582"/>
          <a:ext cx="291873" cy="975632"/>
        </a:xfrm>
        <a:prstGeom prst="straightConnector1">
          <a:avLst/>
        </a:prstGeom>
        <a:ln w="15875"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0</xdr:row>
      <xdr:rowOff>130628</xdr:rowOff>
    </xdr:from>
    <xdr:to>
      <xdr:col>4</xdr:col>
      <xdr:colOff>274864</xdr:colOff>
      <xdr:row>2</xdr:row>
      <xdr:rowOff>44904</xdr:rowOff>
    </xdr:to>
    <xdr:sp macro="" textlink="">
      <xdr:nvSpPr>
        <xdr:cNvPr id="45" name="Овал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353911" y="130628"/>
          <a:ext cx="567417" cy="295276"/>
        </a:xfrm>
        <a:prstGeom prst="ellipse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24</xdr:col>
      <xdr:colOff>225199</xdr:colOff>
      <xdr:row>16</xdr:row>
      <xdr:rowOff>153761</xdr:rowOff>
    </xdr:from>
    <xdr:to>
      <xdr:col>24</xdr:col>
      <xdr:colOff>532738</xdr:colOff>
      <xdr:row>21</xdr:row>
      <xdr:rowOff>164086</xdr:rowOff>
    </xdr:to>
    <xdr:cxnSp macro="">
      <xdr:nvCxnSpPr>
        <xdr:cNvPr id="56" name="Прямая со стрелкой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/>
      </xdr:nvCxnSpPr>
      <xdr:spPr>
        <a:xfrm>
          <a:off x="15029770" y="3637190"/>
          <a:ext cx="307539" cy="962825"/>
        </a:xfrm>
        <a:prstGeom prst="straightConnector1">
          <a:avLst/>
        </a:prstGeom>
        <a:ln w="15875">
          <a:solidFill>
            <a:srgbClr val="7030A0"/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141514</xdr:colOff>
      <xdr:row>160</xdr:row>
      <xdr:rowOff>40821</xdr:rowOff>
    </xdr:from>
    <xdr:to>
      <xdr:col>48</xdr:col>
      <xdr:colOff>178947</xdr:colOff>
      <xdr:row>211</xdr:row>
      <xdr:rowOff>174171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835" y="30520821"/>
          <a:ext cx="28816541" cy="9848850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0</xdr:row>
      <xdr:rowOff>95251</xdr:rowOff>
    </xdr:from>
    <xdr:to>
      <xdr:col>17</xdr:col>
      <xdr:colOff>480429</xdr:colOff>
      <xdr:row>37</xdr:row>
      <xdr:rowOff>46751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607" y="95251"/>
          <a:ext cx="10114286" cy="70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136071</xdr:colOff>
      <xdr:row>81</xdr:row>
      <xdr:rowOff>54428</xdr:rowOff>
    </xdr:from>
    <xdr:to>
      <xdr:col>31</xdr:col>
      <xdr:colOff>481203</xdr:colOff>
      <xdr:row>117</xdr:row>
      <xdr:rowOff>122464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392" y="15484928"/>
          <a:ext cx="18714775" cy="6926036"/>
        </a:xfrm>
        <a:prstGeom prst="rect">
          <a:avLst/>
        </a:prstGeom>
      </xdr:spPr>
    </xdr:pic>
    <xdr:clientData/>
  </xdr:twoCellAnchor>
  <xdr:twoCellAnchor>
    <xdr:from>
      <xdr:col>1</xdr:col>
      <xdr:colOff>111579</xdr:colOff>
      <xdr:row>120</xdr:row>
      <xdr:rowOff>5442</xdr:rowOff>
    </xdr:from>
    <xdr:to>
      <xdr:col>47</xdr:col>
      <xdr:colOff>507997</xdr:colOff>
      <xdr:row>158</xdr:row>
      <xdr:rowOff>62592</xdr:rowOff>
    </xdr:to>
    <xdr:grpSp>
      <xdr:nvGrpSpPr>
        <xdr:cNvPr id="24" name="Группа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pSpPr/>
      </xdr:nvGrpSpPr>
      <xdr:grpSpPr>
        <a:xfrm>
          <a:off x="696686" y="22865442"/>
          <a:ext cx="27311347" cy="7296150"/>
          <a:chOff x="723900" y="22865442"/>
          <a:chExt cx="28563204" cy="7296150"/>
        </a:xfrm>
      </xdr:grpSpPr>
      <xdr:pic>
        <xdr:nvPicPr>
          <xdr:cNvPr id="3" name="Рисунок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23900" y="22865442"/>
            <a:ext cx="28563204" cy="7296150"/>
          </a:xfrm>
          <a:prstGeom prst="rect">
            <a:avLst/>
          </a:prstGeom>
        </xdr:spPr>
      </xdr:pic>
      <xdr:cxnSp macro="">
        <xdr:nvCxnSpPr>
          <xdr:cNvPr id="13" name="Прямая со стрелкой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6014357" y="23458714"/>
            <a:ext cx="13607" cy="1387929"/>
          </a:xfrm>
          <a:prstGeom prst="straightConnector1">
            <a:avLst/>
          </a:prstGeom>
          <a:ln w="19050">
            <a:solidFill>
              <a:srgbClr val="FF0000"/>
            </a:solidFill>
            <a:prstDash val="dash"/>
            <a:headEnd type="oval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Прямая со стрелкой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/>
        </xdr:nvCxnSpPr>
        <xdr:spPr>
          <a:xfrm>
            <a:off x="6860721" y="23298150"/>
            <a:ext cx="24493" cy="1562100"/>
          </a:xfrm>
          <a:prstGeom prst="straightConnector1">
            <a:avLst/>
          </a:prstGeom>
          <a:ln w="19050">
            <a:solidFill>
              <a:srgbClr val="FF0000"/>
            </a:solidFill>
            <a:prstDash val="dash"/>
            <a:headEnd type="oval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Полилиния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/>
        </xdr:nvSpPr>
        <xdr:spPr>
          <a:xfrm>
            <a:off x="6027964" y="24982714"/>
            <a:ext cx="12341679" cy="2653440"/>
          </a:xfrm>
          <a:custGeom>
            <a:avLst/>
            <a:gdLst>
              <a:gd name="connsiteX0" fmla="*/ 0 w 12341679"/>
              <a:gd name="connsiteY0" fmla="*/ 0 h 2653440"/>
              <a:gd name="connsiteX1" fmla="*/ 6558643 w 12341679"/>
              <a:gd name="connsiteY1" fmla="*/ 2653393 h 2653440"/>
              <a:gd name="connsiteX2" fmla="*/ 12341679 w 12341679"/>
              <a:gd name="connsiteY2" fmla="*/ 54429 h 265344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12341679" h="2653440">
                <a:moveTo>
                  <a:pt x="0" y="0"/>
                </a:moveTo>
                <a:cubicBezTo>
                  <a:pt x="2250848" y="1322161"/>
                  <a:pt x="4501697" y="2644322"/>
                  <a:pt x="6558643" y="2653393"/>
                </a:cubicBezTo>
                <a:cubicBezTo>
                  <a:pt x="8615589" y="2662464"/>
                  <a:pt x="10478634" y="1358446"/>
                  <a:pt x="12341679" y="54429"/>
                </a:cubicBezTo>
              </a:path>
            </a:pathLst>
          </a:custGeom>
          <a:noFill/>
          <a:ln w="19050">
            <a:solidFill>
              <a:srgbClr val="FF0000"/>
            </a:solidFill>
            <a:prstDash val="dash"/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9" name="Полилиния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/>
        </xdr:nvSpPr>
        <xdr:spPr>
          <a:xfrm>
            <a:off x="6898821" y="24901071"/>
            <a:ext cx="12028715" cy="2776509"/>
          </a:xfrm>
          <a:custGeom>
            <a:avLst/>
            <a:gdLst>
              <a:gd name="connsiteX0" fmla="*/ 0 w 12028715"/>
              <a:gd name="connsiteY0" fmla="*/ 0 h 2776509"/>
              <a:gd name="connsiteX1" fmla="*/ 8327572 w 12028715"/>
              <a:gd name="connsiteY1" fmla="*/ 2775858 h 2776509"/>
              <a:gd name="connsiteX2" fmla="*/ 12028715 w 12028715"/>
              <a:gd name="connsiteY2" fmla="*/ 204108 h 277650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12028715" h="2776509">
                <a:moveTo>
                  <a:pt x="0" y="0"/>
                </a:moveTo>
                <a:cubicBezTo>
                  <a:pt x="3161393" y="1370920"/>
                  <a:pt x="6322786" y="2741840"/>
                  <a:pt x="8327572" y="2775858"/>
                </a:cubicBezTo>
                <a:cubicBezTo>
                  <a:pt x="10332358" y="2809876"/>
                  <a:pt x="11180536" y="1506992"/>
                  <a:pt x="12028715" y="204108"/>
                </a:cubicBezTo>
              </a:path>
            </a:pathLst>
          </a:custGeom>
          <a:noFill/>
          <a:ln w="19050">
            <a:solidFill>
              <a:srgbClr val="FF0000"/>
            </a:solidFill>
            <a:prstDash val="dash"/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22" name="Прямоугольник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/>
        </xdr:nvSpPr>
        <xdr:spPr>
          <a:xfrm>
            <a:off x="19158857" y="28057929"/>
            <a:ext cx="762000" cy="217714"/>
          </a:xfrm>
          <a:prstGeom prst="rect">
            <a:avLst/>
          </a:prstGeom>
          <a:noFill/>
          <a:ln w="22225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23" name="Полилиния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/>
        </xdr:nvSpPr>
        <xdr:spPr>
          <a:xfrm>
            <a:off x="2217964" y="28166786"/>
            <a:ext cx="17308286" cy="1524429"/>
          </a:xfrm>
          <a:custGeom>
            <a:avLst/>
            <a:gdLst>
              <a:gd name="connsiteX0" fmla="*/ 17308286 w 17308286"/>
              <a:gd name="connsiteY0" fmla="*/ 122464 h 1524429"/>
              <a:gd name="connsiteX1" fmla="*/ 8654143 w 17308286"/>
              <a:gd name="connsiteY1" fmla="*/ 1524000 h 1524429"/>
              <a:gd name="connsiteX2" fmla="*/ 0 w 17308286"/>
              <a:gd name="connsiteY2" fmla="*/ 0 h 15244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17308286" h="1524429">
                <a:moveTo>
                  <a:pt x="17308286" y="122464"/>
                </a:moveTo>
                <a:cubicBezTo>
                  <a:pt x="14423571" y="833437"/>
                  <a:pt x="11538857" y="1544411"/>
                  <a:pt x="8654143" y="1524000"/>
                </a:cubicBezTo>
                <a:cubicBezTo>
                  <a:pt x="5769429" y="1503589"/>
                  <a:pt x="2884714" y="751794"/>
                  <a:pt x="0" y="0"/>
                </a:cubicBezTo>
              </a:path>
            </a:pathLst>
          </a:custGeom>
          <a:noFill/>
          <a:ln w="19050">
            <a:solidFill>
              <a:srgbClr val="FF0000"/>
            </a:solidFill>
            <a:prstDash val="dash"/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1</xdr:col>
      <xdr:colOff>108858</xdr:colOff>
      <xdr:row>39</xdr:row>
      <xdr:rowOff>0</xdr:rowOff>
    </xdr:from>
    <xdr:to>
      <xdr:col>30</xdr:col>
      <xdr:colOff>344968</xdr:colOff>
      <xdr:row>78</xdr:row>
      <xdr:rowOff>163286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/>
      </xdr:nvGrpSpPr>
      <xdr:grpSpPr>
        <a:xfrm>
          <a:off x="693965" y="7429500"/>
          <a:ext cx="17204217" cy="7592786"/>
          <a:chOff x="721179" y="7429500"/>
          <a:chExt cx="17993432" cy="7592786"/>
        </a:xfrm>
      </xdr:grpSpPr>
      <xdr:pic>
        <xdr:nvPicPr>
          <xdr:cNvPr id="11" name="Рисунок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21179" y="7429500"/>
            <a:ext cx="17993432" cy="7592786"/>
          </a:xfrm>
          <a:prstGeom prst="rect">
            <a:avLst/>
          </a:prstGeom>
        </xdr:spPr>
      </xdr:pic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 flipH="1" flipV="1">
            <a:off x="2775857" y="12858750"/>
            <a:ext cx="1047750" cy="13607"/>
          </a:xfrm>
          <a:prstGeom prst="straightConnector1">
            <a:avLst/>
          </a:prstGeom>
          <a:ln w="12700">
            <a:solidFill>
              <a:srgbClr val="7030A0"/>
            </a:solidFill>
            <a:headEnd type="oval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Прямая со стрелкой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CxnSpPr/>
        </xdr:nvCxnSpPr>
        <xdr:spPr>
          <a:xfrm flipH="1" flipV="1">
            <a:off x="5989864" y="12861472"/>
            <a:ext cx="1047750" cy="13607"/>
          </a:xfrm>
          <a:prstGeom prst="straightConnector1">
            <a:avLst/>
          </a:prstGeom>
          <a:ln w="12700">
            <a:solidFill>
              <a:srgbClr val="7030A0"/>
            </a:solidFill>
            <a:headEnd type="oval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7" Type="http://schemas.openxmlformats.org/officeDocument/2006/relationships/ctrlProp" Target="../ctrlProps/ctrlProp8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zoomScale="130" zoomScaleNormal="130" workbookViewId="0">
      <selection activeCell="L5" sqref="L5"/>
    </sheetView>
  </sheetViews>
  <sheetFormatPr defaultColWidth="8.85546875" defaultRowHeight="15" x14ac:dyDescent="0.25"/>
  <cols>
    <col min="1" max="1" width="3" bestFit="1" customWidth="1"/>
    <col min="2" max="2" width="10.42578125" customWidth="1"/>
    <col min="3" max="3" width="11.42578125" customWidth="1"/>
    <col min="13" max="13" width="12.140625" bestFit="1" customWidth="1"/>
  </cols>
  <sheetData>
    <row r="1" spans="1:14" x14ac:dyDescent="0.25">
      <c r="B1" t="s">
        <v>83</v>
      </c>
      <c r="C1" s="28">
        <v>4</v>
      </c>
    </row>
    <row r="2" spans="1:14" x14ac:dyDescent="0.25">
      <c r="B2" t="s">
        <v>84</v>
      </c>
      <c r="C2" s="29" t="s">
        <v>112</v>
      </c>
    </row>
    <row r="3" spans="1:14" x14ac:dyDescent="0.25">
      <c r="B3" t="s">
        <v>85</v>
      </c>
      <c r="C3" s="29" t="s">
        <v>113</v>
      </c>
    </row>
    <row r="4" spans="1:14" x14ac:dyDescent="0.25">
      <c r="B4" t="s">
        <v>86</v>
      </c>
      <c r="C4" s="30">
        <v>0</v>
      </c>
      <c r="D4" s="68"/>
      <c r="E4" s="68"/>
      <c r="F4" s="68"/>
      <c r="G4" s="68"/>
      <c r="H4" s="68"/>
      <c r="I4" s="68"/>
    </row>
    <row r="6" spans="1:14" x14ac:dyDescent="0.25">
      <c r="A6" s="4">
        <v>0</v>
      </c>
      <c r="B6" s="4" t="s">
        <v>87</v>
      </c>
      <c r="C6" s="4"/>
      <c r="N6" s="31" t="str">
        <f>"Например: "&amp;SUBSTITUTE(C2,"-","")&amp;" "&amp;RIGHT("0"&amp;C1,2)&amp;" "&amp;SUBSTITUTE(SUBSTITUTE(C3,".","")," ","")</f>
        <v>Например: ПМ2541 04 ПетровГА</v>
      </c>
    </row>
    <row r="7" spans="1:14" ht="3" customHeight="1" x14ac:dyDescent="0.25">
      <c r="B7" t="s">
        <v>88</v>
      </c>
    </row>
    <row r="8" spans="1:14" ht="3" customHeight="1" x14ac:dyDescent="0.25">
      <c r="B8" t="s">
        <v>89</v>
      </c>
    </row>
    <row r="9" spans="1:14" ht="3" customHeight="1" x14ac:dyDescent="0.25"/>
    <row r="10" spans="1:14" x14ac:dyDescent="0.25">
      <c r="B10" s="4" t="s">
        <v>90</v>
      </c>
      <c r="C10" s="4" t="s">
        <v>92</v>
      </c>
    </row>
    <row r="11" spans="1:14" x14ac:dyDescent="0.25">
      <c r="B11" s="31" t="s">
        <v>108</v>
      </c>
    </row>
    <row r="12" spans="1:14" x14ac:dyDescent="0.25">
      <c r="B12" s="4" t="s">
        <v>91</v>
      </c>
      <c r="C12" s="7" t="s">
        <v>93</v>
      </c>
    </row>
    <row r="13" spans="1:14" x14ac:dyDescent="0.25">
      <c r="C13" s="7" t="s">
        <v>94</v>
      </c>
    </row>
    <row r="14" spans="1:14" x14ac:dyDescent="0.25">
      <c r="C14" s="7" t="s">
        <v>95</v>
      </c>
    </row>
    <row r="15" spans="1:14" x14ac:dyDescent="0.25">
      <c r="L15" s="7"/>
    </row>
    <row r="16" spans="1:14" x14ac:dyDescent="0.25">
      <c r="B16" s="4" t="s">
        <v>2</v>
      </c>
    </row>
    <row r="17" spans="1:12" x14ac:dyDescent="0.25">
      <c r="A17" s="4" t="s">
        <v>3</v>
      </c>
      <c r="B17" s="4"/>
    </row>
    <row r="18" spans="1:12" x14ac:dyDescent="0.25">
      <c r="A18" s="7" t="s">
        <v>98</v>
      </c>
      <c r="B18" s="4"/>
      <c r="J18" s="31" t="s">
        <v>109</v>
      </c>
    </row>
    <row r="19" spans="1:12" x14ac:dyDescent="0.25">
      <c r="A19">
        <v>1</v>
      </c>
      <c r="B19" t="s">
        <v>5</v>
      </c>
      <c r="J19" s="31" t="s">
        <v>110</v>
      </c>
    </row>
    <row r="20" spans="1:12" x14ac:dyDescent="0.25">
      <c r="A20">
        <v>2</v>
      </c>
      <c r="B20" t="s">
        <v>6</v>
      </c>
    </row>
    <row r="21" spans="1:12" x14ac:dyDescent="0.25">
      <c r="B21" s="31" t="s">
        <v>22</v>
      </c>
    </row>
    <row r="22" spans="1:12" x14ac:dyDescent="0.25">
      <c r="B22" s="31" t="s">
        <v>23</v>
      </c>
    </row>
    <row r="23" spans="1:12" x14ac:dyDescent="0.25">
      <c r="B23" s="31" t="s">
        <v>96</v>
      </c>
    </row>
    <row r="24" spans="1:12" x14ac:dyDescent="0.25">
      <c r="A24">
        <v>3</v>
      </c>
      <c r="B24" t="s">
        <v>7</v>
      </c>
    </row>
    <row r="25" spans="1:12" x14ac:dyDescent="0.25">
      <c r="A25">
        <v>4</v>
      </c>
      <c r="B25" t="s">
        <v>8</v>
      </c>
      <c r="L25" s="31" t="s">
        <v>97</v>
      </c>
    </row>
    <row r="26" spans="1:12" x14ac:dyDescent="0.25">
      <c r="A26">
        <v>5</v>
      </c>
      <c r="B26" t="s">
        <v>9</v>
      </c>
    </row>
    <row r="27" spans="1:12" x14ac:dyDescent="0.25">
      <c r="A27">
        <v>6</v>
      </c>
      <c r="B27" t="s">
        <v>24</v>
      </c>
    </row>
    <row r="29" spans="1:12" x14ac:dyDescent="0.25">
      <c r="A29" s="7" t="s">
        <v>99</v>
      </c>
    </row>
    <row r="30" spans="1:12" x14ac:dyDescent="0.25">
      <c r="A30">
        <v>1</v>
      </c>
      <c r="B30" t="s">
        <v>25</v>
      </c>
      <c r="J30" s="31" t="s">
        <v>106</v>
      </c>
    </row>
    <row r="31" spans="1:12" x14ac:dyDescent="0.25">
      <c r="A31">
        <v>2</v>
      </c>
      <c r="B31" t="s">
        <v>26</v>
      </c>
    </row>
    <row r="32" spans="1:12" x14ac:dyDescent="0.25">
      <c r="A32">
        <v>3</v>
      </c>
      <c r="B32" t="s">
        <v>27</v>
      </c>
    </row>
    <row r="33" spans="1:10" x14ac:dyDescent="0.25">
      <c r="A33">
        <v>4</v>
      </c>
      <c r="B33" t="s">
        <v>28</v>
      </c>
    </row>
    <row r="34" spans="1:10" x14ac:dyDescent="0.25">
      <c r="A34">
        <v>5</v>
      </c>
      <c r="B34" t="s">
        <v>29</v>
      </c>
    </row>
    <row r="36" spans="1:10" x14ac:dyDescent="0.25">
      <c r="A36" s="4" t="s">
        <v>4</v>
      </c>
    </row>
    <row r="37" spans="1:10" s="7" customFormat="1" x14ac:dyDescent="0.25">
      <c r="A37" s="7" t="s">
        <v>100</v>
      </c>
    </row>
    <row r="38" spans="1:10" s="7" customFormat="1" x14ac:dyDescent="0.25">
      <c r="A38" s="7" t="s">
        <v>102</v>
      </c>
    </row>
    <row r="39" spans="1:10" x14ac:dyDescent="0.25">
      <c r="A39">
        <v>1</v>
      </c>
      <c r="B39" t="s">
        <v>101</v>
      </c>
      <c r="J39" s="31" t="s">
        <v>106</v>
      </c>
    </row>
    <row r="40" spans="1:10" x14ac:dyDescent="0.25">
      <c r="A40">
        <v>2</v>
      </c>
      <c r="B40" t="s">
        <v>107</v>
      </c>
    </row>
    <row r="41" spans="1:10" x14ac:dyDescent="0.25">
      <c r="B41" t="s">
        <v>77</v>
      </c>
    </row>
    <row r="42" spans="1:10" x14ac:dyDescent="0.25">
      <c r="B42" t="s">
        <v>111</v>
      </c>
    </row>
    <row r="43" spans="1:10" x14ac:dyDescent="0.25">
      <c r="B43" t="s">
        <v>103</v>
      </c>
    </row>
    <row r="44" spans="1:10" x14ac:dyDescent="0.25">
      <c r="A44" s="7" t="s">
        <v>104</v>
      </c>
    </row>
    <row r="45" spans="1:10" x14ac:dyDescent="0.25">
      <c r="A45">
        <v>3</v>
      </c>
      <c r="B45" t="s">
        <v>78</v>
      </c>
    </row>
    <row r="46" spans="1:10" x14ac:dyDescent="0.25">
      <c r="A46" s="7" t="s">
        <v>105</v>
      </c>
    </row>
    <row r="47" spans="1:10" x14ac:dyDescent="0.25">
      <c r="A47">
        <v>4</v>
      </c>
      <c r="B47" t="s">
        <v>79</v>
      </c>
    </row>
    <row r="48" spans="1:10" x14ac:dyDescent="0.25">
      <c r="A48">
        <v>5</v>
      </c>
      <c r="B48" t="s">
        <v>80</v>
      </c>
    </row>
    <row r="49" spans="1:2" x14ac:dyDescent="0.25">
      <c r="A49" s="7" t="s">
        <v>81</v>
      </c>
    </row>
    <row r="50" spans="1:2" x14ac:dyDescent="0.25">
      <c r="A50">
        <v>6</v>
      </c>
      <c r="B50" t="s">
        <v>82</v>
      </c>
    </row>
  </sheetData>
  <mergeCells count="1">
    <mergeCell ref="D4:I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topLeftCell="B1" zoomScale="115" zoomScaleNormal="85" workbookViewId="0">
      <selection activeCell="L7" sqref="L7:L8"/>
    </sheetView>
  </sheetViews>
  <sheetFormatPr defaultColWidth="8.85546875" defaultRowHeight="15" x14ac:dyDescent="0.25"/>
  <cols>
    <col min="1" max="1" width="3.7109375" bestFit="1" customWidth="1"/>
    <col min="2" max="2" width="3.28515625" bestFit="1" customWidth="1"/>
    <col min="3" max="3" width="5.42578125" bestFit="1" customWidth="1"/>
    <col min="4" max="5" width="12.140625" bestFit="1" customWidth="1"/>
    <col min="6" max="9" width="12.28515625" customWidth="1"/>
    <col min="10" max="10" width="2.42578125" customWidth="1"/>
    <col min="11" max="11" width="6.85546875" customWidth="1"/>
    <col min="13" max="13" width="13.42578125" bestFit="1" customWidth="1"/>
    <col min="14" max="14" width="11.85546875" bestFit="1" customWidth="1"/>
  </cols>
  <sheetData>
    <row r="1" spans="1:15" x14ac:dyDescent="0.25">
      <c r="D1" t="s">
        <v>114</v>
      </c>
      <c r="L1" t="s">
        <v>115</v>
      </c>
      <c r="N1" s="73" t="s">
        <v>118</v>
      </c>
      <c r="O1" s="73"/>
    </row>
    <row r="2" spans="1:15" x14ac:dyDescent="0.25">
      <c r="L2" t="s">
        <v>116</v>
      </c>
      <c r="M2" t="s">
        <v>119</v>
      </c>
      <c r="N2" t="s">
        <v>127</v>
      </c>
      <c r="O2" t="s">
        <v>126</v>
      </c>
    </row>
    <row r="3" spans="1:15" x14ac:dyDescent="0.25">
      <c r="E3" s="5" t="s">
        <v>12</v>
      </c>
      <c r="F3" s="6">
        <v>5</v>
      </c>
      <c r="G3" s="73" t="s">
        <v>120</v>
      </c>
      <c r="H3" s="73"/>
      <c r="I3" s="3"/>
      <c r="L3" t="s">
        <v>117</v>
      </c>
      <c r="N3">
        <v>1</v>
      </c>
      <c r="O3">
        <v>2</v>
      </c>
    </row>
    <row r="4" spans="1:15" x14ac:dyDescent="0.25">
      <c r="G4" s="73"/>
      <c r="H4" s="73"/>
      <c r="I4" s="3"/>
      <c r="L4" s="59">
        <f ca="1">CORREL(OFFSET($D$8,$F$3,0):$D$31,OFFSET($F$8,$F$3,0):$F$31)^2</f>
        <v>0.84321350322504041</v>
      </c>
      <c r="M4">
        <f ca="1">PRODUCT(I32:I36)</f>
        <v>0</v>
      </c>
      <c r="N4" s="48" cm="1">
        <f t="array" aca="1" ref="N4" ca="1">INDEX(LINEST(OFFSET($D$8,$F$3,0):$D$31,OFFSET($E$8,$F$3,0):$E$31),N3)</f>
        <v>1.6566164743332494</v>
      </c>
      <c r="O4" cm="1">
        <f t="array" aca="1" ref="O4" ca="1">INDEX(LINEST(OFFSET($D$8,$F$3,0):$D$31,OFFSET($E$8,$F$3,0):$E$31),O3)</f>
        <v>714954.9154407382</v>
      </c>
    </row>
    <row r="5" spans="1:15" x14ac:dyDescent="0.25">
      <c r="C5" s="2"/>
      <c r="D5" s="2" t="s">
        <v>1</v>
      </c>
      <c r="E5" s="2" t="s">
        <v>15</v>
      </c>
      <c r="F5" s="2" t="s">
        <v>17</v>
      </c>
      <c r="G5" s="2" t="s">
        <v>121</v>
      </c>
      <c r="H5" s="2" t="s">
        <v>122</v>
      </c>
      <c r="I5" s="2" t="s">
        <v>119</v>
      </c>
    </row>
    <row r="6" spans="1:15" x14ac:dyDescent="0.25">
      <c r="B6" s="2" t="s">
        <v>0</v>
      </c>
      <c r="D6" s="2" t="s">
        <v>13</v>
      </c>
      <c r="E6" s="2" t="s">
        <v>14</v>
      </c>
      <c r="F6" s="2" t="s">
        <v>18</v>
      </c>
      <c r="G6" s="2"/>
      <c r="H6" s="2"/>
      <c r="I6" s="2"/>
    </row>
    <row r="7" spans="1:15" ht="30" x14ac:dyDescent="0.25">
      <c r="B7" s="8" t="s">
        <v>16</v>
      </c>
      <c r="C7" s="8" t="s">
        <v>10</v>
      </c>
      <c r="D7" s="8" t="s">
        <v>125</v>
      </c>
      <c r="E7" s="8" t="str">
        <f>D7 &amp; " t+" &amp; F3</f>
        <v>ВВП t+5</v>
      </c>
      <c r="F7" s="8" t="s">
        <v>19</v>
      </c>
      <c r="G7" s="8" t="s">
        <v>123</v>
      </c>
      <c r="H7" s="8" t="s">
        <v>124</v>
      </c>
      <c r="I7" s="8"/>
      <c r="L7" s="49" t="s">
        <v>128</v>
      </c>
    </row>
    <row r="8" spans="1:15" ht="15" customHeight="1" x14ac:dyDescent="0.25">
      <c r="A8" s="69" t="s">
        <v>20</v>
      </c>
      <c r="B8" s="1">
        <v>1</v>
      </c>
      <c r="C8" s="46">
        <v>2002</v>
      </c>
      <c r="D8" s="9">
        <v>1523670.1312683504</v>
      </c>
      <c r="E8" s="9" t="str">
        <f t="shared" ref="E8:E9" ca="1" si="0">IF(B8&gt;$F$3,OFFSET(D8,-$F$3,0),"")</f>
        <v/>
      </c>
      <c r="F8" s="9" t="str" cm="1">
        <f t="array" aca="1" ref="F8" ca="1">IF(B8&gt;$F$3,TREND(OFFSET($D$8,$F$3,0):$D$31,OFFSET($E$8,$F$3,0):$E$31,E8),"")</f>
        <v/>
      </c>
      <c r="G8" s="10">
        <v>-1956201.4500859925</v>
      </c>
      <c r="H8" s="10">
        <v>3739941.0803154707</v>
      </c>
      <c r="I8" s="10"/>
      <c r="L8" t="s">
        <v>129</v>
      </c>
    </row>
    <row r="9" spans="1:15" ht="15.75" thickBot="1" x14ac:dyDescent="0.3">
      <c r="A9" s="70"/>
      <c r="B9" s="1">
        <v>2</v>
      </c>
      <c r="C9" s="1">
        <v>2003</v>
      </c>
      <c r="D9" s="10">
        <v>1899714.2822209885</v>
      </c>
      <c r="E9" s="9" t="str">
        <f t="shared" ca="1" si="0"/>
        <v/>
      </c>
      <c r="F9" s="9" t="str" cm="1">
        <f t="array" aca="1" ref="F9" ca="1">IF(B9&gt;$F$3,TREND(OFFSET($D$8,$F$3,0):$D$31,OFFSET($E$8,$F$3,0):$E$31,E9),"")</f>
        <v/>
      </c>
      <c r="G9" s="10">
        <v>-1286877.1868016412</v>
      </c>
      <c r="H9" s="10">
        <v>4213046.8077561511</v>
      </c>
      <c r="I9" s="10"/>
      <c r="K9" s="50" t="s">
        <v>130</v>
      </c>
      <c r="L9" s="50" t="str">
        <f>L3</f>
        <v>R^2</v>
      </c>
      <c r="M9" s="50" t="str">
        <f>M2</f>
        <v>Адекватность</v>
      </c>
      <c r="N9" s="50" t="str">
        <f t="shared" ref="N9:O9" si="1">N2</f>
        <v>уд.влияние</v>
      </c>
      <c r="O9" s="50" t="str">
        <f t="shared" si="1"/>
        <v>св.член</v>
      </c>
    </row>
    <row r="10" spans="1:15" x14ac:dyDescent="0.25">
      <c r="A10" s="70"/>
      <c r="B10" s="1">
        <v>3</v>
      </c>
      <c r="C10" s="1">
        <v>2004</v>
      </c>
      <c r="D10" s="10">
        <v>2271976.8034374709</v>
      </c>
      <c r="E10" s="9" t="str">
        <f ca="1">IF(B10&gt;$F$3,OFFSET(D10,-$F$3,0),"")</f>
        <v/>
      </c>
      <c r="F10" s="9" t="str" cm="1">
        <f t="array" aca="1" ref="F10" ca="1">IF(B10&gt;$F$3,TREND(OFFSET($D$8,$F$3,0):$D$31,OFFSET($E$8,$F$3,0):$E$31,E10),"")</f>
        <v/>
      </c>
      <c r="G10" s="10">
        <v>-580604.81776423042</v>
      </c>
      <c r="H10" s="10">
        <v>4718163.99984763</v>
      </c>
      <c r="I10" s="10"/>
      <c r="K10" s="51"/>
      <c r="L10" s="52">
        <f ca="1">L4</f>
        <v>0.84321350322504041</v>
      </c>
      <c r="M10" s="52">
        <f t="shared" ref="M10:O10" ca="1" si="2">M4</f>
        <v>0</v>
      </c>
      <c r="N10" s="52">
        <f t="shared" ca="1" si="2"/>
        <v>1.6566164743332494</v>
      </c>
      <c r="O10" s="53">
        <f t="shared" ca="1" si="2"/>
        <v>714954.9154407382</v>
      </c>
    </row>
    <row r="11" spans="1:15" x14ac:dyDescent="0.25">
      <c r="A11" s="70"/>
      <c r="B11" s="1">
        <v>4</v>
      </c>
      <c r="C11" s="1">
        <v>2005</v>
      </c>
      <c r="D11" s="10">
        <v>2745199.6299384595</v>
      </c>
      <c r="E11" s="9" t="str">
        <f t="shared" ref="E11:E41" ca="1" si="3">IF(B11&gt;$F$3,OFFSET(D11,-$F$3,0),"")</f>
        <v/>
      </c>
      <c r="F11" s="9" t="str" cm="1">
        <f t="array" aca="1" ref="F11" ca="1">IF(B11&gt;$F$3,TREND(OFFSET($D$8,$F$3,0):$D$31,OFFSET($E$8,$F$3,0):$E$31,E11),"")</f>
        <v/>
      </c>
      <c r="G11" s="10">
        <v>162595.71389143006</v>
      </c>
      <c r="H11" s="10">
        <v>5258485.370482346</v>
      </c>
      <c r="I11" s="10"/>
      <c r="K11" s="54">
        <v>1</v>
      </c>
      <c r="L11">
        <f t="dataTable" ref="L11:O24" dt2D="0" dtr="0" r1="F3" ca="1"/>
        <v>0.98924976795003372</v>
      </c>
      <c r="M11">
        <v>0</v>
      </c>
      <c r="N11">
        <v>1.1445851981609489</v>
      </c>
      <c r="O11" s="55">
        <v>-143503.39024541713</v>
      </c>
    </row>
    <row r="12" spans="1:15" x14ac:dyDescent="0.25">
      <c r="A12" s="70"/>
      <c r="B12" s="1">
        <v>5</v>
      </c>
      <c r="C12" s="1">
        <v>2006</v>
      </c>
      <c r="D12" s="10">
        <v>3476075.5445336094</v>
      </c>
      <c r="E12" s="9" t="str">
        <f t="shared" ca="1" si="3"/>
        <v/>
      </c>
      <c r="F12" s="9" t="str" cm="1">
        <f t="array" aca="1" ref="F12" ca="1">IF(B12&gt;$F$3,TREND(OFFSET($D$8,$F$3,0):$D$31,OFFSET($E$8,$F$3,0):$E$31,E12),"")</f>
        <v/>
      </c>
      <c r="G12" s="10">
        <v>942176.77224868082</v>
      </c>
      <c r="H12" s="10">
        <v>5837861.6182303559</v>
      </c>
      <c r="I12" s="10"/>
      <c r="K12" s="54">
        <v>2</v>
      </c>
      <c r="L12">
        <v>0.95944751451211052</v>
      </c>
      <c r="M12">
        <v>0</v>
      </c>
      <c r="N12">
        <v>1.3257597253194837</v>
      </c>
      <c r="O12" s="55">
        <v>-428363.35381313227</v>
      </c>
    </row>
    <row r="13" spans="1:15" x14ac:dyDescent="0.25">
      <c r="A13" s="70"/>
      <c r="B13" s="1">
        <v>6</v>
      </c>
      <c r="C13" s="1">
        <v>2007</v>
      </c>
      <c r="D13" s="10">
        <v>4183589.0473623835</v>
      </c>
      <c r="E13" s="9">
        <f t="shared" ca="1" si="3"/>
        <v>1523670.1312683504</v>
      </c>
      <c r="F13" s="9" cm="1">
        <f t="array" aca="1" ref="F13" ca="1">IF(B13&gt;$F$3,TREND(OFFSET($D$8,$F$3,0):$D$31,OFFSET($E$8,$F$3,0):$E$31,E13),"")</f>
        <v>3239091.9563493924</v>
      </c>
      <c r="G13" s="10">
        <v>1756902.0622068932</v>
      </c>
      <c r="H13" s="10">
        <v>6460967.4171804525</v>
      </c>
      <c r="I13" s="10"/>
      <c r="K13" s="54">
        <v>3</v>
      </c>
      <c r="L13">
        <v>0.91182900012111934</v>
      </c>
      <c r="M13">
        <v>0</v>
      </c>
      <c r="N13">
        <v>1.488460985001326</v>
      </c>
      <c r="O13" s="55">
        <v>-440471.50978680514</v>
      </c>
    </row>
    <row r="14" spans="1:15" x14ac:dyDescent="0.25">
      <c r="A14" s="70"/>
      <c r="B14" s="1">
        <v>7</v>
      </c>
      <c r="C14" s="1">
        <v>2008</v>
      </c>
      <c r="D14" s="10">
        <v>5380452.4239379605</v>
      </c>
      <c r="E14" s="9">
        <f t="shared" ca="1" si="3"/>
        <v>1899714.2822209885</v>
      </c>
      <c r="F14" s="9" cm="1">
        <f t="array" aca="1" ref="F14" ca="1">IF(B14&gt;$F$3,TREND(OFFSET($D$8,$F$3,0):$D$31,OFFSET($E$8,$F$3,0):$E$31,E14),"")</f>
        <v>3862052.891894192</v>
      </c>
      <c r="G14" s="10">
        <v>2604677.2707518386</v>
      </c>
      <c r="H14" s="10">
        <v>7133475.9862706047</v>
      </c>
      <c r="I14" s="10"/>
      <c r="K14" s="54">
        <v>4</v>
      </c>
      <c r="L14">
        <v>0.86498327375229644</v>
      </c>
      <c r="M14">
        <v>0</v>
      </c>
      <c r="N14">
        <v>1.5918007331489814</v>
      </c>
      <c r="O14" s="55">
        <v>24122.524080667645</v>
      </c>
    </row>
    <row r="15" spans="1:15" x14ac:dyDescent="0.25">
      <c r="A15" s="70"/>
      <c r="B15" s="1">
        <v>8</v>
      </c>
      <c r="C15" s="1">
        <v>2009</v>
      </c>
      <c r="D15" s="10">
        <v>5857652.2365358304</v>
      </c>
      <c r="E15" s="9">
        <f t="shared" ca="1" si="3"/>
        <v>2271976.8034374709</v>
      </c>
      <c r="F15" s="9" cm="1">
        <f t="array" aca="1" ref="F15" ca="1">IF(B15&gt;$F$3,TREND(OFFSET($D$8,$F$3,0):$D$31,OFFSET($E$8,$F$3,0):$E$31,E15),"")</f>
        <v>4478749.1173182474</v>
      </c>
      <c r="G15" s="10">
        <v>3482415.6439466206</v>
      </c>
      <c r="H15" s="10">
        <v>7862198.9157687509</v>
      </c>
      <c r="I15" s="10"/>
      <c r="K15" s="54">
        <v>5</v>
      </c>
      <c r="L15">
        <v>0.84321350322504041</v>
      </c>
      <c r="M15">
        <v>0</v>
      </c>
      <c r="N15">
        <v>1.6566164743332494</v>
      </c>
      <c r="O15" s="55">
        <v>714954.9154407382</v>
      </c>
    </row>
    <row r="16" spans="1:15" x14ac:dyDescent="0.25">
      <c r="A16" s="70"/>
      <c r="B16" s="1">
        <v>9</v>
      </c>
      <c r="C16" s="1">
        <v>2010</v>
      </c>
      <c r="D16" s="10">
        <v>6511019.5831007604</v>
      </c>
      <c r="E16" s="9">
        <f t="shared" ca="1" si="3"/>
        <v>2745199.6299384595</v>
      </c>
      <c r="F16" s="9" cm="1">
        <f t="array" aca="1" ref="F16" ca="1">IF(B16&gt;$F$3,TREND(OFFSET($D$8,$F$3,0):$D$31,OFFSET($E$8,$F$3,0):$E$31,E16),"")</f>
        <v>5262697.8477303302</v>
      </c>
      <c r="G16" s="10">
        <v>4386021.7774340864</v>
      </c>
      <c r="H16" s="10">
        <v>8655107.9800591394</v>
      </c>
      <c r="I16" s="10"/>
      <c r="K16" s="54">
        <v>6</v>
      </c>
      <c r="L16">
        <v>0.84376160839732506</v>
      </c>
      <c r="M16">
        <v>0</v>
      </c>
      <c r="N16">
        <v>1.7130759974046039</v>
      </c>
      <c r="O16" s="55">
        <v>1444870.6244044658</v>
      </c>
    </row>
    <row r="17" spans="1:15" x14ac:dyDescent="0.25">
      <c r="A17" s="70"/>
      <c r="B17" s="1">
        <v>10</v>
      </c>
      <c r="C17" s="1">
        <v>2011</v>
      </c>
      <c r="D17" s="10">
        <v>7448243.4494492188</v>
      </c>
      <c r="E17" s="9">
        <f t="shared" ca="1" si="3"/>
        <v>3476075.5445336094</v>
      </c>
      <c r="F17" s="9" cm="1">
        <f t="array" aca="1" ref="F17" ca="1">IF(B17&gt;$F$3,TREND(OFFSET($D$8,$F$3,0):$D$31,OFFSET($E$8,$F$3,0):$E$31,E17),"")</f>
        <v>6473478.9285420366</v>
      </c>
      <c r="G17" s="10">
        <v>5310614.37989299</v>
      </c>
      <c r="H17" s="10">
        <v>9521118.1844831277</v>
      </c>
      <c r="I17" s="10"/>
      <c r="K17" s="54">
        <v>7</v>
      </c>
      <c r="L17">
        <v>0.85548716983430761</v>
      </c>
      <c r="M17">
        <v>1</v>
      </c>
      <c r="N17">
        <v>1.7858640922429294</v>
      </c>
      <c r="O17" s="55">
        <v>2075859.6775204539</v>
      </c>
    </row>
    <row r="18" spans="1:15" x14ac:dyDescent="0.25">
      <c r="A18" s="70"/>
      <c r="B18" s="1">
        <v>11</v>
      </c>
      <c r="C18" s="1">
        <v>2012</v>
      </c>
      <c r="D18" s="10">
        <v>8915955.3337932099</v>
      </c>
      <c r="E18" s="9">
        <f t="shared" ca="1" si="3"/>
        <v>4183589.0473623835</v>
      </c>
      <c r="F18" s="9" cm="1">
        <f t="array" aca="1" ref="F18" ca="1">IF(B18&gt;$F$3,TREND(OFFSET($D$8,$F$3,0):$D$31,OFFSET($E$8,$F$3,0):$E$31,E18),"")</f>
        <v>7645557.4531414071</v>
      </c>
      <c r="G18" s="10">
        <v>6251096.5317673925</v>
      </c>
      <c r="H18" s="10">
        <v>10469523.531359868</v>
      </c>
      <c r="I18" s="10"/>
      <c r="K18" s="54">
        <v>8</v>
      </c>
      <c r="L18">
        <v>0.85000093244727959</v>
      </c>
      <c r="M18">
        <v>1</v>
      </c>
      <c r="N18">
        <v>1.8766940453907757</v>
      </c>
      <c r="O18" s="55">
        <v>2749277.3098046333</v>
      </c>
    </row>
    <row r="19" spans="1:15" x14ac:dyDescent="0.25">
      <c r="A19" s="70"/>
      <c r="B19" s="1">
        <v>12</v>
      </c>
      <c r="C19" s="1">
        <v>2013</v>
      </c>
      <c r="D19" s="10">
        <v>10017461.84195617</v>
      </c>
      <c r="E19" s="9">
        <f t="shared" ca="1" si="3"/>
        <v>5380452.4239379605</v>
      </c>
      <c r="F19" s="9" cm="1">
        <f t="array" aca="1" ref="F19" ca="1">IF(B19&gt;$F$3,TREND(OFFSET($D$8,$F$3,0):$D$31,OFFSET($E$8,$F$3,0):$E$31,E19),"")</f>
        <v>9628301.0403026287</v>
      </c>
      <c r="G19" s="10">
        <v>7203056.213776174</v>
      </c>
      <c r="H19" s="10">
        <v>11509102.738387467</v>
      </c>
      <c r="I19" s="10"/>
      <c r="K19" s="54">
        <v>9</v>
      </c>
      <c r="L19">
        <v>0.84645537349819311</v>
      </c>
      <c r="M19">
        <v>1</v>
      </c>
      <c r="N19">
        <v>1.9881858522407467</v>
      </c>
      <c r="O19" s="55">
        <v>3406550.6586219724</v>
      </c>
    </row>
    <row r="20" spans="1:15" x14ac:dyDescent="0.25">
      <c r="A20" s="70"/>
      <c r="B20" s="1">
        <v>13</v>
      </c>
      <c r="C20" s="1">
        <v>2014</v>
      </c>
      <c r="D20" s="10">
        <v>9925208.0999999996</v>
      </c>
      <c r="E20" s="9">
        <f t="shared" ca="1" si="3"/>
        <v>5857652.2365358304</v>
      </c>
      <c r="F20" s="9" cm="1">
        <f t="array" aca="1" ref="F20" ca="1">IF(B20&gt;$F$3,TREND(OFFSET($D$8,$F$3,0):$D$31,OFFSET($E$8,$F$3,0):$E$31,E20),"")</f>
        <v>10418838.111400999</v>
      </c>
      <c r="G20" s="10">
        <v>8163748.1690284451</v>
      </c>
      <c r="H20" s="10">
        <v>12647143.853577789</v>
      </c>
      <c r="I20" s="10"/>
      <c r="K20" s="54">
        <v>10</v>
      </c>
      <c r="L20">
        <v>0.85596699947565602</v>
      </c>
      <c r="M20">
        <v>1</v>
      </c>
      <c r="N20">
        <v>2.1341663970906941</v>
      </c>
      <c r="O20" s="55">
        <v>3957953.746994365</v>
      </c>
    </row>
    <row r="21" spans="1:15" x14ac:dyDescent="0.25">
      <c r="A21" s="70"/>
      <c r="B21" s="1">
        <v>14</v>
      </c>
      <c r="C21" s="1">
        <v>2015</v>
      </c>
      <c r="D21" s="10">
        <v>10706582.1</v>
      </c>
      <c r="E21" s="9">
        <f t="shared" ca="1" si="3"/>
        <v>6511019.5831007604</v>
      </c>
      <c r="F21" s="9" cm="1">
        <f t="array" aca="1" ref="F21" ca="1">IF(B21&gt;$F$3,TREND(OFFSET($D$8,$F$3,0):$D$31,OFFSET($E$8,$F$3,0):$E$31,E21),"")</f>
        <v>11501217.221511863</v>
      </c>
      <c r="G21" s="10">
        <v>9132743.5197487306</v>
      </c>
      <c r="H21" s="10">
        <v>13888801.353981158</v>
      </c>
      <c r="I21" s="10"/>
      <c r="K21" s="54">
        <v>11</v>
      </c>
      <c r="L21">
        <v>0.89049144887654808</v>
      </c>
      <c r="M21">
        <v>1</v>
      </c>
      <c r="N21">
        <v>2.3234124547461801</v>
      </c>
      <c r="O21" s="55">
        <v>4312941.3166151978</v>
      </c>
    </row>
    <row r="22" spans="1:15" x14ac:dyDescent="0.25">
      <c r="A22" s="70"/>
      <c r="B22" s="1">
        <v>15</v>
      </c>
      <c r="C22" s="1">
        <v>2016</v>
      </c>
      <c r="D22" s="10">
        <v>11852881.700000001</v>
      </c>
      <c r="E22" s="9">
        <f t="shared" ca="1" si="3"/>
        <v>7448243.4494492188</v>
      </c>
      <c r="F22" s="9" cm="1">
        <f t="array" aca="1" ref="F22" ca="1">IF(B22&gt;$F$3,TREND(OFFSET($D$8,$F$3,0):$D$31,OFFSET($E$8,$F$3,0):$E$31,E22),"")</f>
        <v>13053837.718643023</v>
      </c>
      <c r="G22" s="10">
        <v>10111953.60401921</v>
      </c>
      <c r="H22" s="10">
        <v>15237079.271344533</v>
      </c>
      <c r="I22" s="10"/>
      <c r="K22" s="54">
        <v>12</v>
      </c>
      <c r="L22">
        <v>0.92563834511794763</v>
      </c>
      <c r="M22">
        <v>1</v>
      </c>
      <c r="N22">
        <v>2.5509265712494762</v>
      </c>
      <c r="O22" s="55">
        <v>4617310.1911091171</v>
      </c>
    </row>
    <row r="23" spans="1:15" x14ac:dyDescent="0.25">
      <c r="A23" s="70"/>
      <c r="B23" s="1">
        <v>16</v>
      </c>
      <c r="C23" s="1">
        <v>2017</v>
      </c>
      <c r="D23" s="10">
        <v>12766002.800000001</v>
      </c>
      <c r="E23" s="9">
        <f t="shared" ca="1" si="3"/>
        <v>8915955.3337932099</v>
      </c>
      <c r="F23" s="9" cm="1">
        <f t="array" aca="1" ref="F23" ca="1">IF(B23&gt;$F$3,TREND(OFFSET($D$8,$F$3,0):$D$31,OFFSET($E$8,$F$3,0):$E$31,E23),"")</f>
        <v>15485273.405821975</v>
      </c>
      <c r="G23" s="10">
        <v>11105090.40919121</v>
      </c>
      <c r="H23" s="10">
        <v>16693377.976902718</v>
      </c>
      <c r="I23" s="10"/>
      <c r="K23" s="54">
        <v>13</v>
      </c>
      <c r="L23">
        <v>0.91644950844028394</v>
      </c>
      <c r="M23">
        <v>1</v>
      </c>
      <c r="N23">
        <v>2.9060987193318133</v>
      </c>
      <c r="O23" s="55">
        <v>4836533.6282797363</v>
      </c>
    </row>
    <row r="24" spans="1:15" ht="15.75" thickBot="1" x14ac:dyDescent="0.3">
      <c r="A24" s="70"/>
      <c r="B24" s="1">
        <v>17</v>
      </c>
      <c r="C24" s="1">
        <v>2018</v>
      </c>
      <c r="D24" s="10">
        <v>13515794</v>
      </c>
      <c r="E24" s="9">
        <f t="shared" ca="1" si="3"/>
        <v>10017461.84195617</v>
      </c>
      <c r="F24" s="9" cm="1">
        <f t="array" aca="1" ref="F24" ca="1">IF(B24&gt;$F$3,TREND(OFFSET($D$8,$F$3,0):$D$31,OFFSET($E$8,$F$3,0):$E$31,E24),"")</f>
        <v>17310047.233830027</v>
      </c>
      <c r="G24" s="10">
        <v>12116896.199047633</v>
      </c>
      <c r="H24" s="10">
        <v>18258272.037383951</v>
      </c>
      <c r="I24" s="10"/>
      <c r="K24" s="56">
        <v>14</v>
      </c>
      <c r="L24" s="57">
        <v>0.91810037377452325</v>
      </c>
      <c r="M24" s="57">
        <v>0</v>
      </c>
      <c r="N24" s="57">
        <v>3.4026863647221712</v>
      </c>
      <c r="O24" s="58">
        <v>4789805.9654631112</v>
      </c>
    </row>
    <row r="25" spans="1:15" x14ac:dyDescent="0.25">
      <c r="A25" s="70"/>
      <c r="B25" s="1">
        <v>18</v>
      </c>
      <c r="C25" s="1">
        <v>2019</v>
      </c>
      <c r="D25" s="10">
        <v>13615271.9</v>
      </c>
      <c r="E25" s="9">
        <f t="shared" ca="1" si="3"/>
        <v>9925208.0999999996</v>
      </c>
      <c r="F25" s="9" cm="1">
        <f t="array" aca="1" ref="F25" ca="1">IF(B25&gt;$F$3,TREND(OFFSET($D$8,$F$3,0):$D$31,OFFSET($E$8,$F$3,0):$E$31,E25),"")</f>
        <v>17157218.165086545</v>
      </c>
      <c r="G25" s="10">
        <v>13152464.67318739</v>
      </c>
      <c r="H25" s="10">
        <v>19932196.813244045</v>
      </c>
      <c r="I25" s="10"/>
    </row>
    <row r="26" spans="1:15" x14ac:dyDescent="0.25">
      <c r="A26" s="70"/>
      <c r="B26" s="1">
        <v>19</v>
      </c>
      <c r="C26" s="1">
        <v>2020</v>
      </c>
      <c r="D26" s="10">
        <v>14544325.699999999</v>
      </c>
      <c r="E26" s="9">
        <f t="shared" ca="1" si="3"/>
        <v>10706582.1</v>
      </c>
      <c r="F26" s="9" cm="1">
        <f t="array" aca="1" ref="F26" ca="1">IF(B26&gt;$F$3,TREND(OFFSET($D$8,$F$3,0):$D$31,OFFSET($E$8,$F$3,0):$E$31,E26),"")</f>
        <v>18451655.206102215</v>
      </c>
      <c r="G26" s="10">
        <v>14216798.490484538</v>
      </c>
      <c r="H26" s="10">
        <v>21715898.977094799</v>
      </c>
      <c r="I26" s="10"/>
    </row>
    <row r="27" spans="1:15" ht="15" customHeight="1" x14ac:dyDescent="0.25">
      <c r="A27" s="70"/>
      <c r="B27" s="1">
        <v>20</v>
      </c>
      <c r="C27" s="1">
        <v>2021</v>
      </c>
      <c r="D27" s="10">
        <v>16406490.399999999</v>
      </c>
      <c r="E27" s="9">
        <f t="shared" ca="1" si="3"/>
        <v>11852881.700000001</v>
      </c>
      <c r="F27" s="9" cm="1">
        <f t="array" aca="1" ref="F27" ca="1">IF(B27&gt;$F$3,TREND(OFFSET($D$8,$F$3,0):$D$31,OFFSET($E$8,$F$3,0):$E$31,E27),"")</f>
        <v>20350634.007983834</v>
      </c>
      <c r="G27" s="10">
        <v>15314593.402886452</v>
      </c>
      <c r="H27" s="10">
        <v>23610660.716225568</v>
      </c>
      <c r="I27" s="10"/>
    </row>
    <row r="28" spans="1:15" x14ac:dyDescent="0.25">
      <c r="A28" s="70"/>
      <c r="B28" s="1">
        <v>21</v>
      </c>
      <c r="C28" s="1">
        <v>2022</v>
      </c>
      <c r="D28" s="10">
        <v>19738622.600000001</v>
      </c>
      <c r="E28" s="9">
        <f t="shared" ca="1" si="3"/>
        <v>12766002.800000001</v>
      </c>
      <c r="F28" s="9" cm="1">
        <f t="array" aca="1" ref="F28" ca="1">IF(B28&gt;$F$3,TREND(OFFSET($D$8,$F$3,0):$D$31,OFFSET($E$8,$F$3,0):$E$31,E28),"")</f>
        <v>21863325.465305131</v>
      </c>
      <c r="G28" s="10">
        <v>16450176.729841826</v>
      </c>
      <c r="H28" s="10">
        <v>25618369.899447113</v>
      </c>
      <c r="I28" s="10"/>
    </row>
    <row r="29" spans="1:15" x14ac:dyDescent="0.25">
      <c r="A29" s="70"/>
      <c r="B29" s="1">
        <v>22</v>
      </c>
      <c r="C29" s="1">
        <v>2023</v>
      </c>
      <c r="D29" s="10">
        <v>24340433.200000003</v>
      </c>
      <c r="E29" s="9">
        <f t="shared" ca="1" si="3"/>
        <v>13515794</v>
      </c>
      <c r="F29" s="9" cm="1">
        <f t="array" aca="1" ref="F29" ca="1">IF(B29&gt;$F$3,TREND(OFFSET($D$8,$F$3,0):$D$31,OFFSET($E$8,$F$3,0):$E$31,E29),"")</f>
        <v>23105441.919535223</v>
      </c>
      <c r="G29" s="10">
        <v>17627529.220460288</v>
      </c>
      <c r="H29" s="10">
        <v>27741507.172045324</v>
      </c>
      <c r="I29" s="10"/>
    </row>
    <row r="30" spans="1:15" x14ac:dyDescent="0.25">
      <c r="A30" s="70"/>
      <c r="B30" s="1">
        <v>23</v>
      </c>
      <c r="C30" s="1">
        <v>2024</v>
      </c>
      <c r="D30" s="10">
        <v>29177253.5</v>
      </c>
      <c r="E30" s="9">
        <f t="shared" ca="1" si="3"/>
        <v>13615271.9</v>
      </c>
      <c r="F30" s="9" cm="1">
        <f t="array" aca="1" ref="F30" ca="1">IF(B30&gt;$F$3,TREND(OFFSET($D$8,$F$3,0):$D$31,OFFSET($E$8,$F$3,0):$E$31,E30),"")</f>
        <v>23270238.647507302</v>
      </c>
      <c r="G30" s="10">
        <v>18850342.104058798</v>
      </c>
      <c r="H30" s="10">
        <v>29983098.189460117</v>
      </c>
      <c r="I30" s="10"/>
    </row>
    <row r="31" spans="1:15" x14ac:dyDescent="0.25">
      <c r="A31" s="71"/>
      <c r="B31" s="1">
        <v>24</v>
      </c>
      <c r="C31" s="1">
        <v>2025</v>
      </c>
      <c r="D31" s="10">
        <v>32463740.899999999</v>
      </c>
      <c r="E31" s="9">
        <f t="shared" ca="1" si="3"/>
        <v>14544325.699999999</v>
      </c>
      <c r="F31" s="9" cm="1">
        <f t="array" aca="1" ref="F31" ca="1">IF(B31&gt;$F$3,TREND(OFFSET($D$8,$F$3,0):$D$31,OFFSET($E$8,$F$3,0):$E$31,E31),"")</f>
        <v>24809324.478129208</v>
      </c>
      <c r="G31" s="10">
        <v>20122082.664074387</v>
      </c>
      <c r="H31" s="10">
        <v>32346657.666376326</v>
      </c>
      <c r="I31" s="10"/>
    </row>
    <row r="32" spans="1:15" x14ac:dyDescent="0.25">
      <c r="A32" s="72" t="s">
        <v>21</v>
      </c>
      <c r="B32" s="1">
        <v>25</v>
      </c>
      <c r="C32" s="1">
        <v>2026</v>
      </c>
      <c r="D32" s="10"/>
      <c r="E32" s="9">
        <f t="shared" ca="1" si="3"/>
        <v>16406490.399999999</v>
      </c>
      <c r="F32" s="9" cm="1">
        <f t="array" aca="1" ref="F32" ca="1">IF(B32&gt;$F$3,TREND(OFFSET($D$8,$F$3,0):$D$31,OFFSET($E$8,$F$3,0):$E$31,E32),"")</f>
        <v>27894217.19807104</v>
      </c>
      <c r="G32" s="47">
        <v>21446055.93275819</v>
      </c>
      <c r="H32" s="47">
        <v>34836137.655886173</v>
      </c>
      <c r="I32" s="10">
        <f ca="1">IF(AND(F32&gt;=G32,F32&lt;=H32),1,0)</f>
        <v>1</v>
      </c>
    </row>
    <row r="33" spans="1:9" ht="15" customHeight="1" x14ac:dyDescent="0.25">
      <c r="A33" s="72"/>
      <c r="B33" s="1">
        <v>26</v>
      </c>
      <c r="C33" s="1">
        <v>2027</v>
      </c>
      <c r="D33" s="10"/>
      <c r="E33" s="9">
        <f t="shared" ca="1" si="3"/>
        <v>19738622.600000001</v>
      </c>
      <c r="F33" s="9" cm="1">
        <f t="array" aca="1" ref="F33" ca="1">IF(B33&gt;$F$3,TREND(OFFSET($D$8,$F$3,0):$D$31,OFFSET($E$8,$F$3,0):$E$31,E33),"")</f>
        <v>33414282.295247339</v>
      </c>
      <c r="G33" s="47">
        <v>22825457.991466932</v>
      </c>
      <c r="H33" s="47">
        <v>37455884.586404614</v>
      </c>
      <c r="I33" s="10">
        <f t="shared" ref="I33:I36" ca="1" si="4">IF(AND(F33&gt;=G33,F33&lt;=H33),1,0)</f>
        <v>1</v>
      </c>
    </row>
    <row r="34" spans="1:9" ht="15" customHeight="1" x14ac:dyDescent="0.25">
      <c r="A34" s="72"/>
      <c r="B34" s="1">
        <v>27</v>
      </c>
      <c r="C34" s="1">
        <v>2028</v>
      </c>
      <c r="D34" s="10"/>
      <c r="E34" s="9">
        <f ca="1">IF(B34&gt;$F$3,OFFSET(D34,-$F$3,0),"")</f>
        <v>24340433.200000003</v>
      </c>
      <c r="F34" s="9" cm="1">
        <f t="array" aca="1" ref="F34" ca="1">IF(B34&gt;$F$3,TREND(OFFSET($D$8,$F$3,0):$D$31,OFFSET($E$8,$F$3,0):$E$31,E34),"")</f>
        <v>41037717.546968713</v>
      </c>
      <c r="G34" s="47">
        <v>24263420.175912913</v>
      </c>
      <c r="H34" s="47">
        <v>40210605.769911781</v>
      </c>
      <c r="I34" s="10">
        <f t="shared" ca="1" si="4"/>
        <v>0</v>
      </c>
    </row>
    <row r="35" spans="1:9" ht="15" customHeight="1" x14ac:dyDescent="0.25">
      <c r="A35" s="72"/>
      <c r="B35" s="1">
        <v>28</v>
      </c>
      <c r="C35" s="1">
        <v>2029</v>
      </c>
      <c r="D35" s="10"/>
      <c r="E35" s="9">
        <f t="shared" ca="1" si="3"/>
        <v>29177253.5</v>
      </c>
      <c r="F35" s="9" cm="1">
        <f t="array" aca="1" ref="F35" ca="1">IF(B35&gt;$F$3,TREND(OFFSET($D$8,$F$3,0):$D$31,OFFSET($E$8,$F$3,0):$E$31,E35),"")</f>
        <v>49050473.739338197</v>
      </c>
      <c r="G35" s="47">
        <v>25763045.071118195</v>
      </c>
      <c r="H35" s="47">
        <v>43105344.510163926</v>
      </c>
      <c r="I35" s="10">
        <f t="shared" ca="1" si="4"/>
        <v>0</v>
      </c>
    </row>
    <row r="36" spans="1:9" ht="15" customHeight="1" x14ac:dyDescent="0.25">
      <c r="A36" s="72"/>
      <c r="B36" s="1">
        <v>29</v>
      </c>
      <c r="C36" s="1">
        <v>2030</v>
      </c>
      <c r="D36" s="10"/>
      <c r="E36" s="9">
        <f t="shared" ca="1" si="3"/>
        <v>32463740.899999999</v>
      </c>
      <c r="F36" s="9" cm="1">
        <f t="array" aca="1" ref="F36" ca="1">IF(B36&gt;$F$3,TREND(OFFSET($D$8,$F$3,0):$D$31,OFFSET($E$8,$F$3,0):$E$31,E36),"")</f>
        <v>54494922.908866845</v>
      </c>
      <c r="G36" s="47">
        <v>27327435.670290373</v>
      </c>
      <c r="H36" s="47">
        <v>46145462.450511649</v>
      </c>
      <c r="I36" s="10">
        <f t="shared" ca="1" si="4"/>
        <v>0</v>
      </c>
    </row>
    <row r="37" spans="1:9" x14ac:dyDescent="0.25">
      <c r="A37" s="72"/>
      <c r="B37" s="1">
        <v>30</v>
      </c>
      <c r="C37" s="1">
        <v>2031</v>
      </c>
      <c r="D37" s="10"/>
      <c r="E37" s="9">
        <f t="shared" ca="1" si="3"/>
        <v>0</v>
      </c>
      <c r="F37" s="9" cm="1">
        <f t="array" aca="1" ref="F37" ca="1">IF(B37&gt;$F$3,TREND(OFFSET($D$8,$F$3,0):$D$31,OFFSET($E$8,$F$3,0):$E$31,E37),"")</f>
        <v>714954.9154407382</v>
      </c>
      <c r="G37" s="10"/>
      <c r="H37" s="10"/>
      <c r="I37" s="10"/>
    </row>
    <row r="38" spans="1:9" x14ac:dyDescent="0.25">
      <c r="A38" s="72"/>
      <c r="B38" s="1">
        <v>31</v>
      </c>
      <c r="C38" s="1">
        <v>2032</v>
      </c>
      <c r="D38" s="10"/>
      <c r="E38" s="9">
        <f t="shared" ca="1" si="3"/>
        <v>0</v>
      </c>
      <c r="F38" s="9" cm="1">
        <f t="array" aca="1" ref="F38" ca="1">IF(B38&gt;$F$3,TREND(OFFSET($D$8,$F$3,0):$D$31,OFFSET($E$8,$F$3,0):$E$31,E38),"")</f>
        <v>714954.9154407382</v>
      </c>
      <c r="G38" s="10"/>
      <c r="H38" s="10"/>
      <c r="I38" s="10"/>
    </row>
    <row r="39" spans="1:9" x14ac:dyDescent="0.25">
      <c r="A39" s="72"/>
      <c r="B39" s="1">
        <v>32</v>
      </c>
      <c r="C39" s="1">
        <v>2033</v>
      </c>
      <c r="D39" s="10"/>
      <c r="E39" s="9">
        <f t="shared" ca="1" si="3"/>
        <v>0</v>
      </c>
      <c r="F39" s="9" cm="1">
        <f t="array" aca="1" ref="F39" ca="1">IF(B39&gt;$F$3,TREND(OFFSET($D$8,$F$3,0):$D$31,OFFSET($E$8,$F$3,0):$E$31,E39),"")</f>
        <v>714954.9154407382</v>
      </c>
      <c r="G39" s="10"/>
      <c r="H39" s="10"/>
      <c r="I39" s="10"/>
    </row>
    <row r="40" spans="1:9" x14ac:dyDescent="0.25">
      <c r="A40" s="72"/>
      <c r="B40" s="1">
        <v>33</v>
      </c>
      <c r="C40" s="1">
        <v>2034</v>
      </c>
      <c r="D40" s="10"/>
      <c r="E40" s="9">
        <f t="shared" ca="1" si="3"/>
        <v>0</v>
      </c>
      <c r="F40" s="9" cm="1">
        <f t="array" aca="1" ref="F40" ca="1">IF(B40&gt;$F$3,TREND(OFFSET($D$8,$F$3,0):$D$31,OFFSET($E$8,$F$3,0):$E$31,E40),"")</f>
        <v>714954.9154407382</v>
      </c>
      <c r="G40" s="10"/>
      <c r="H40" s="10"/>
      <c r="I40" s="10"/>
    </row>
    <row r="41" spans="1:9" x14ac:dyDescent="0.25">
      <c r="A41" s="72"/>
      <c r="B41" s="1">
        <v>34</v>
      </c>
      <c r="C41" s="1">
        <v>2035</v>
      </c>
      <c r="D41" s="10"/>
      <c r="E41" s="9">
        <f t="shared" ca="1" si="3"/>
        <v>0</v>
      </c>
      <c r="F41" s="9" cm="1">
        <f t="array" aca="1" ref="F41" ca="1">IF(B41&gt;$F$3,TREND(OFFSET($D$8,$F$3,0):$D$31,OFFSET($E$8,$F$3,0):$E$31,E41),"")</f>
        <v>714954.9154407382</v>
      </c>
      <c r="G41" s="10"/>
      <c r="H41" s="10"/>
      <c r="I41" s="10"/>
    </row>
  </sheetData>
  <mergeCells count="4">
    <mergeCell ref="A8:A31"/>
    <mergeCell ref="A32:A41"/>
    <mergeCell ref="G3:H4"/>
    <mergeCell ref="N1:O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Spinner 3">
              <controlPr defaultSize="0" autoPict="0">
                <anchor moveWithCells="1" sizeWithCells="1">
                  <from>
                    <xdr:col>5</xdr:col>
                    <xdr:colOff>695325</xdr:colOff>
                    <xdr:row>0</xdr:row>
                    <xdr:rowOff>142875</xdr:rowOff>
                  </from>
                  <to>
                    <xdr:col>6</xdr:col>
                    <xdr:colOff>28575</xdr:colOff>
                    <xdr:row>3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1"/>
  <sheetViews>
    <sheetView zoomScale="85" zoomScaleNormal="85" workbookViewId="0">
      <selection activeCell="N60" sqref="N60"/>
    </sheetView>
  </sheetViews>
  <sheetFormatPr defaultColWidth="8.85546875" defaultRowHeight="15" x14ac:dyDescent="0.25"/>
  <cols>
    <col min="1" max="1" width="3.7109375" bestFit="1" customWidth="1"/>
    <col min="2" max="2" width="3.28515625" bestFit="1" customWidth="1"/>
    <col min="3" max="3" width="5.42578125" bestFit="1" customWidth="1"/>
    <col min="4" max="5" width="12.140625" bestFit="1" customWidth="1"/>
    <col min="6" max="6" width="12.28515625" customWidth="1"/>
    <col min="7" max="7" width="4.140625" customWidth="1"/>
    <col min="8" max="10" width="12.28515625" customWidth="1"/>
    <col min="11" max="11" width="3.140625" bestFit="1" customWidth="1"/>
    <col min="19" max="19" width="8.85546875" customWidth="1"/>
  </cols>
  <sheetData>
    <row r="1" spans="1:24" x14ac:dyDescent="0.25">
      <c r="L1" s="61" t="s">
        <v>115</v>
      </c>
      <c r="M1" s="62"/>
    </row>
    <row r="2" spans="1:24" x14ac:dyDescent="0.25">
      <c r="L2" s="54"/>
      <c r="M2" s="55"/>
    </row>
    <row r="3" spans="1:24" x14ac:dyDescent="0.25">
      <c r="E3" s="5" t="s">
        <v>43</v>
      </c>
      <c r="F3" s="6">
        <v>1</v>
      </c>
      <c r="I3" s="5" t="s">
        <v>44</v>
      </c>
      <c r="J3" s="6">
        <v>10</v>
      </c>
      <c r="L3" s="54"/>
      <c r="M3" s="55" t="s">
        <v>117</v>
      </c>
    </row>
    <row r="4" spans="1:24" x14ac:dyDescent="0.25">
      <c r="L4" s="54" t="s">
        <v>71</v>
      </c>
      <c r="M4" s="63">
        <f ca="1">CORREL(OFFSET($D$8,$F$3,0):$D$31,OFFSET($F$8,$F$3,0):$F$31)^2</f>
        <v>0.97604219909176826</v>
      </c>
    </row>
    <row r="5" spans="1:24" x14ac:dyDescent="0.25">
      <c r="C5" s="2"/>
      <c r="D5" s="2" t="s">
        <v>31</v>
      </c>
      <c r="E5" s="2" t="s">
        <v>33</v>
      </c>
      <c r="F5" s="2" t="s">
        <v>35</v>
      </c>
      <c r="G5" s="11"/>
      <c r="H5" s="2" t="s">
        <v>32</v>
      </c>
      <c r="I5" s="2" t="s">
        <v>34</v>
      </c>
      <c r="J5" s="2" t="s">
        <v>36</v>
      </c>
      <c r="K5" s="11"/>
      <c r="L5" s="54" t="s">
        <v>73</v>
      </c>
      <c r="M5" s="63">
        <f ca="1">CORREL(OFFSET($H$8,$J$3,0):$H$31,OFFSET($J$8,$J$3,0):$J$31)^2</f>
        <v>0.86532591840528894</v>
      </c>
    </row>
    <row r="6" spans="1:24" ht="15.75" thickBot="1" x14ac:dyDescent="0.3">
      <c r="B6" s="2" t="s">
        <v>0</v>
      </c>
      <c r="D6" s="2" t="s">
        <v>37</v>
      </c>
      <c r="E6" s="2" t="s">
        <v>38</v>
      </c>
      <c r="F6" s="2" t="s">
        <v>39</v>
      </c>
      <c r="G6" s="11"/>
      <c r="H6" s="2" t="s">
        <v>40</v>
      </c>
      <c r="I6" s="2" t="s">
        <v>41</v>
      </c>
      <c r="J6" s="2" t="s">
        <v>42</v>
      </c>
      <c r="K6" s="11"/>
      <c r="L6" s="64" t="s">
        <v>132</v>
      </c>
      <c r="M6" s="65">
        <f ca="1">AVERAGE(M4:M5)</f>
        <v>0.92068405874852854</v>
      </c>
    </row>
    <row r="7" spans="1:24" ht="30" x14ac:dyDescent="0.25">
      <c r="B7" s="8" t="s">
        <v>16</v>
      </c>
      <c r="C7" s="8" t="s">
        <v>10</v>
      </c>
      <c r="D7" s="9" t="str">
        <f>AR!D7</f>
        <v>ВВП</v>
      </c>
      <c r="E7" s="8" t="str">
        <f>H7 &amp; " t+" &amp; F3</f>
        <v>ОФ t+1</v>
      </c>
      <c r="F7" s="8" t="str">
        <f>D7&amp;"( "&amp;E7&amp;")"</f>
        <v>ВВП( ОФ t+1)</v>
      </c>
      <c r="G7" s="12"/>
      <c r="H7" s="9" t="s">
        <v>131</v>
      </c>
      <c r="I7" s="8" t="str">
        <f>D7 &amp; " t+" &amp; J3</f>
        <v>ВВП t+10</v>
      </c>
      <c r="J7" s="8" t="str">
        <f>H7&amp;"( "&amp;I7&amp;")"</f>
        <v>ОФ( ВВП t+10)</v>
      </c>
      <c r="K7" s="12"/>
    </row>
    <row r="8" spans="1:24" ht="15" customHeight="1" x14ac:dyDescent="0.25">
      <c r="A8" s="74" t="s">
        <v>20</v>
      </c>
      <c r="B8" s="1">
        <v>1</v>
      </c>
      <c r="C8" s="46">
        <v>2002</v>
      </c>
      <c r="D8" s="9">
        <f>AR!D8</f>
        <v>1523670.1312683504</v>
      </c>
      <c r="E8" s="9" t="str">
        <f ca="1">IF(B8&gt;$F$3,OFFSET(H8,-$F$3,0),"")</f>
        <v/>
      </c>
      <c r="F8" s="9" t="str" cm="1">
        <f t="array" aca="1" ref="F8" ca="1">IF(B8&gt;$F$3,TREND(OFFSET($D$8,$F$3,0):$D$31,OFFSET($E$8,$F$3,0):$E$31,E8),"")</f>
        <v/>
      </c>
      <c r="G8" s="13"/>
      <c r="H8" s="10">
        <v>663998.76369988162</v>
      </c>
      <c r="I8" s="9" t="str">
        <f t="shared" ref="I8:I10" ca="1" si="0">IF(B8&gt;$J$3,OFFSET(D8,-$J$3,0),"")</f>
        <v/>
      </c>
      <c r="J8" s="9" t="str" cm="1">
        <f t="array" aca="1" ref="J8" ca="1">IF(B8&gt;$J$3,TREND(OFFSET($H$8,$J$3,0):$H$31,OFFSET($I$8,$J$3,0):$I$31,I8),"")</f>
        <v/>
      </c>
      <c r="K8" s="13"/>
      <c r="L8" s="49" t="s">
        <v>128</v>
      </c>
    </row>
    <row r="9" spans="1:24" x14ac:dyDescent="0.25">
      <c r="A9" s="75"/>
      <c r="B9" s="1">
        <v>2</v>
      </c>
      <c r="C9" s="1">
        <v>2003</v>
      </c>
      <c r="D9" s="9">
        <f>AR!D9</f>
        <v>1899714.2822209885</v>
      </c>
      <c r="E9" s="9">
        <f ca="1">IF(B9&gt;$F$3,OFFSET(H9,-$F$3,0),"")</f>
        <v>663998.76369988162</v>
      </c>
      <c r="F9" s="9" cm="1">
        <f t="array" aca="1" ref="F9" ca="1">IF(B9&gt;$F$3,TREND(OFFSET($D$8,$F$3,0):$D$31,OFFSET($E$8,$F$3,0):$E$31,E9),"")</f>
        <v>2162803.2385817878</v>
      </c>
      <c r="G9" s="13"/>
      <c r="H9" s="10">
        <v>884858.70150511106</v>
      </c>
      <c r="I9" s="9" t="str">
        <f t="shared" ca="1" si="0"/>
        <v/>
      </c>
      <c r="J9" s="9" t="str" cm="1">
        <f t="array" aca="1" ref="J9" ca="1">IF(B9&gt;$J$3,TREND(OFFSET($H$8,$J$3,0):$H$31,OFFSET($I$8,$J$3,0):$I$31,I9),"")</f>
        <v/>
      </c>
      <c r="K9" s="13"/>
      <c r="L9" t="s">
        <v>129</v>
      </c>
    </row>
    <row r="10" spans="1:24" x14ac:dyDescent="0.25">
      <c r="A10" s="75"/>
      <c r="B10" s="1">
        <v>3</v>
      </c>
      <c r="C10" s="1">
        <v>2004</v>
      </c>
      <c r="D10" s="9">
        <f>AR!D10</f>
        <v>2271976.8034374709</v>
      </c>
      <c r="E10" s="9">
        <f t="shared" ref="E10:E41" ca="1" si="1">IF(B10&gt;$F$3,OFFSET(H10,-$F$3,0),"")</f>
        <v>884858.70150511106</v>
      </c>
      <c r="F10" s="9" cm="1">
        <f t="array" aca="1" ref="F10" ca="1">IF(B10&gt;$F$3,TREND(OFFSET($D$8,$F$3,0):$D$31,OFFSET($E$8,$F$3,0):$E$31,E10),"")</f>
        <v>2506353.3194957832</v>
      </c>
      <c r="G10" s="13"/>
      <c r="H10" s="10">
        <v>1090317.1051120984</v>
      </c>
      <c r="I10" s="9" t="str">
        <f t="shared" ca="1" si="0"/>
        <v/>
      </c>
      <c r="J10" s="9" t="str" cm="1">
        <f t="array" aca="1" ref="J10" ca="1">IF(B10&gt;$J$3,TREND(OFFSET($H$8,$J$3,0):$H$31,OFFSET($I$8,$J$3,0):$I$31,I10),"")</f>
        <v/>
      </c>
      <c r="K10" s="13"/>
      <c r="M10" s="73" t="s">
        <v>133</v>
      </c>
      <c r="N10" s="73"/>
      <c r="O10" s="73"/>
      <c r="P10" s="73"/>
      <c r="Q10" s="73"/>
      <c r="R10" s="73"/>
      <c r="S10" s="73"/>
    </row>
    <row r="11" spans="1:24" x14ac:dyDescent="0.25">
      <c r="A11" s="75"/>
      <c r="B11" s="1">
        <v>4</v>
      </c>
      <c r="C11" s="1">
        <v>2005</v>
      </c>
      <c r="D11" s="9">
        <f>AR!D11</f>
        <v>2745199.6299384595</v>
      </c>
      <c r="E11" s="9">
        <f t="shared" ca="1" si="1"/>
        <v>1090317.1051120984</v>
      </c>
      <c r="F11" s="9" cm="1">
        <f t="array" aca="1" ref="F11" ca="1">IF(B11&gt;$F$3,TREND(OFFSET($D$8,$F$3,0):$D$31,OFFSET($E$8,$F$3,0):$E$31,E11),"")</f>
        <v>2825946.1432784656</v>
      </c>
      <c r="G11" s="13"/>
      <c r="H11" s="10">
        <v>1303045.6589160857</v>
      </c>
      <c r="I11" s="9" t="str">
        <f ca="1">IF(B11&gt;$J$3,OFFSET(D11,-$J$3,0),"")</f>
        <v/>
      </c>
      <c r="J11" s="9" t="str" cm="1">
        <f t="array" aca="1" ref="J11" ca="1">IF(B11&gt;$J$3,TREND(OFFSET($H$8,$J$3,0):$H$31,OFFSET($I$8,$J$3,0):$I$31,I11),"")</f>
        <v/>
      </c>
      <c r="K11" s="13"/>
      <c r="L11" s="66">
        <f ca="1">M6</f>
        <v>0.92068405874852854</v>
      </c>
      <c r="M11">
        <v>1</v>
      </c>
      <c r="N11">
        <v>2</v>
      </c>
      <c r="O11">
        <v>3</v>
      </c>
      <c r="P11">
        <v>4</v>
      </c>
      <c r="Q11">
        <v>5</v>
      </c>
      <c r="R11">
        <v>6</v>
      </c>
      <c r="S11">
        <v>7</v>
      </c>
      <c r="T11">
        <v>8</v>
      </c>
      <c r="U11">
        <v>9</v>
      </c>
      <c r="V11">
        <v>10</v>
      </c>
      <c r="W11">
        <v>11</v>
      </c>
      <c r="X11">
        <v>12</v>
      </c>
    </row>
    <row r="12" spans="1:24" x14ac:dyDescent="0.25">
      <c r="A12" s="75"/>
      <c r="B12" s="1">
        <v>5</v>
      </c>
      <c r="C12" s="1">
        <v>2006</v>
      </c>
      <c r="D12" s="9">
        <f>AR!D12</f>
        <v>3476075.5445336094</v>
      </c>
      <c r="E12" s="9">
        <f t="shared" ca="1" si="1"/>
        <v>1303045.6589160857</v>
      </c>
      <c r="F12" s="9" cm="1">
        <f t="array" aca="1" ref="F12" ca="1">IF(B12&gt;$F$3,TREND(OFFSET($D$8,$F$3,0):$D$31,OFFSET($E$8,$F$3,0):$E$31,E12),"")</f>
        <v>3156847.7662632875</v>
      </c>
      <c r="G12" s="13"/>
      <c r="H12" s="10">
        <v>1615629.3744707303</v>
      </c>
      <c r="I12" s="9" t="str">
        <f t="shared" ref="I12:I41" ca="1" si="2">IF(B12&gt;$J$3,OFFSET(D12,-$J$3,0),"")</f>
        <v/>
      </c>
      <c r="J12" s="9" t="str" cm="1">
        <f t="array" aca="1" ref="J12" ca="1">IF(B12&gt;$J$3,TREND(OFFSET($H$8,$J$3,0):$H$31,OFFSET($I$8,$J$3,0):$I$31,I12),"")</f>
        <v/>
      </c>
      <c r="K12" s="77" t="s">
        <v>134</v>
      </c>
      <c r="L12">
        <v>1</v>
      </c>
      <c r="M12">
        <f t="dataTable" ref="M12:X23" dt2D="1" dtr="1" r1="J3" r2="F3" ca="1"/>
        <v>0.96914520577359275</v>
      </c>
      <c r="N12">
        <v>0.96058665016744871</v>
      </c>
      <c r="O12">
        <v>0.94850991545745755</v>
      </c>
      <c r="P12">
        <v>0.93738564080478781</v>
      </c>
      <c r="Q12">
        <v>0.93193892281528745</v>
      </c>
      <c r="R12">
        <v>0.93430493700555506</v>
      </c>
      <c r="S12">
        <v>0.93044516784417686</v>
      </c>
      <c r="T12">
        <v>0.92062544245300759</v>
      </c>
      <c r="U12">
        <v>0.91439411535447035</v>
      </c>
      <c r="V12">
        <v>0.92068405874852854</v>
      </c>
      <c r="W12">
        <v>0.94103706514222418</v>
      </c>
      <c r="X12">
        <v>0.93804433931151598</v>
      </c>
    </row>
    <row r="13" spans="1:24" x14ac:dyDescent="0.25">
      <c r="A13" s="75"/>
      <c r="B13" s="1">
        <v>6</v>
      </c>
      <c r="C13" s="1">
        <v>2007</v>
      </c>
      <c r="D13" s="9">
        <f>AR!D13</f>
        <v>4183589.0473623835</v>
      </c>
      <c r="E13" s="9">
        <f t="shared" ca="1" si="1"/>
        <v>1615629.3744707303</v>
      </c>
      <c r="F13" s="9" cm="1">
        <f t="array" aca="1" ref="F13" ca="1">IF(B13&gt;$F$3,TREND(OFFSET($D$8,$F$3,0):$D$31,OFFSET($E$8,$F$3,0):$E$31,E13),"")</f>
        <v>3643075.1999860043</v>
      </c>
      <c r="G13" s="13"/>
      <c r="H13" s="10">
        <v>1992232.5563758044</v>
      </c>
      <c r="I13" s="9" t="str">
        <f t="shared" ca="1" si="2"/>
        <v/>
      </c>
      <c r="J13" s="9" t="str" cm="1">
        <f t="array" aca="1" ref="J13" ca="1">IF(B13&gt;$J$3,TREND(OFFSET($H$8,$J$3,0):$H$31,OFFSET($I$8,$J$3,0):$I$31,I13),"")</f>
        <v/>
      </c>
      <c r="K13" s="77"/>
      <c r="L13">
        <v>2</v>
      </c>
      <c r="M13">
        <v>0.94923869817232109</v>
      </c>
      <c r="N13">
        <v>0.94068014256617705</v>
      </c>
      <c r="O13">
        <v>0.92860340785618578</v>
      </c>
      <c r="P13">
        <v>0.91747913320351604</v>
      </c>
      <c r="Q13">
        <v>0.91203241521401579</v>
      </c>
      <c r="R13">
        <v>0.91439842940428329</v>
      </c>
      <c r="S13">
        <v>0.91053866024290508</v>
      </c>
      <c r="T13">
        <v>0.90071893485173593</v>
      </c>
      <c r="U13">
        <v>0.89448760775319869</v>
      </c>
      <c r="V13">
        <v>0.90077755114725688</v>
      </c>
      <c r="W13">
        <v>0.92113055754095241</v>
      </c>
      <c r="X13">
        <v>0.91813783171024421</v>
      </c>
    </row>
    <row r="14" spans="1:24" x14ac:dyDescent="0.25">
      <c r="A14" s="75"/>
      <c r="B14" s="1">
        <v>7</v>
      </c>
      <c r="C14" s="1">
        <v>2008</v>
      </c>
      <c r="D14" s="9">
        <f>AR!D14</f>
        <v>5380452.4239379605</v>
      </c>
      <c r="E14" s="9">
        <f t="shared" ca="1" si="1"/>
        <v>1992232.5563758044</v>
      </c>
      <c r="F14" s="9" cm="1">
        <f t="array" aca="1" ref="F14" ca="1">IF(B14&gt;$F$3,TREND(OFFSET($D$8,$F$3,0):$D$31,OFFSET($E$8,$F$3,0):$E$31,E14),"")</f>
        <v>4228885.6231060866</v>
      </c>
      <c r="G14" s="13"/>
      <c r="H14" s="10">
        <v>2560198.7919133157</v>
      </c>
      <c r="I14" s="9" t="str">
        <f t="shared" ca="1" si="2"/>
        <v/>
      </c>
      <c r="J14" s="9" t="str" cm="1">
        <f t="array" aca="1" ref="J14" ca="1">IF(B14&gt;$J$3,TREND(OFFSET($H$8,$J$3,0):$H$31,OFFSET($I$8,$J$3,0):$I$31,I14),"")</f>
        <v/>
      </c>
      <c r="K14" s="77"/>
      <c r="L14">
        <v>3</v>
      </c>
      <c r="M14">
        <v>0.92151159700859719</v>
      </c>
      <c r="N14">
        <v>0.91295304140245315</v>
      </c>
      <c r="O14">
        <v>0.90087630669246188</v>
      </c>
      <c r="P14">
        <v>0.88975203203979214</v>
      </c>
      <c r="Q14">
        <v>0.88430531405029189</v>
      </c>
      <c r="R14">
        <v>0.88667132824055939</v>
      </c>
      <c r="S14">
        <v>0.88281155907918119</v>
      </c>
      <c r="T14">
        <v>0.87299183368801203</v>
      </c>
      <c r="U14">
        <v>0.86676050658947479</v>
      </c>
      <c r="V14">
        <v>0.87305044998353298</v>
      </c>
      <c r="W14">
        <v>0.89340345637722851</v>
      </c>
      <c r="X14">
        <v>0.89041073054652031</v>
      </c>
    </row>
    <row r="15" spans="1:24" x14ac:dyDescent="0.25">
      <c r="A15" s="75"/>
      <c r="B15" s="1">
        <v>8</v>
      </c>
      <c r="C15" s="1">
        <v>2009</v>
      </c>
      <c r="D15" s="9">
        <f>AR!D15</f>
        <v>5857652.2365358304</v>
      </c>
      <c r="E15" s="9">
        <f t="shared" ca="1" si="1"/>
        <v>2560198.7919133157</v>
      </c>
      <c r="F15" s="9" cm="1">
        <f t="array" aca="1" ref="F15" ca="1">IF(B15&gt;$F$3,TREND(OFFSET($D$8,$F$3,0):$D$31,OFFSET($E$8,$F$3,0):$E$31,E15),"")</f>
        <v>5112363.3969131447</v>
      </c>
      <c r="G15" s="13"/>
      <c r="H15" s="10">
        <v>2993345.5938084461</v>
      </c>
      <c r="I15" s="9" t="str">
        <f t="shared" ca="1" si="2"/>
        <v/>
      </c>
      <c r="J15" s="9" t="str" cm="1">
        <f t="array" aca="1" ref="J15" ca="1">IF(B15&gt;$J$3,TREND(OFFSET($H$8,$J$3,0):$H$31,OFFSET($I$8,$J$3,0):$I$31,I15),"")</f>
        <v/>
      </c>
      <c r="K15" s="77"/>
      <c r="L15">
        <v>4</v>
      </c>
      <c r="M15">
        <v>0.89257983931630902</v>
      </c>
      <c r="N15">
        <v>0.88402128371016486</v>
      </c>
      <c r="O15">
        <v>0.87194454900017382</v>
      </c>
      <c r="P15">
        <v>0.86082027434750397</v>
      </c>
      <c r="Q15">
        <v>0.85537355635800372</v>
      </c>
      <c r="R15">
        <v>0.85773957054827132</v>
      </c>
      <c r="S15">
        <v>0.85387980138689312</v>
      </c>
      <c r="T15">
        <v>0.84406007599572375</v>
      </c>
      <c r="U15">
        <v>0.83782874889718661</v>
      </c>
      <c r="V15">
        <v>0.84411869229124481</v>
      </c>
      <c r="W15">
        <v>0.86447169868494034</v>
      </c>
      <c r="X15">
        <v>0.86147897285423225</v>
      </c>
    </row>
    <row r="16" spans="1:24" x14ac:dyDescent="0.25">
      <c r="A16" s="75"/>
      <c r="B16" s="1">
        <v>9</v>
      </c>
      <c r="C16" s="1">
        <v>2010</v>
      </c>
      <c r="D16" s="9">
        <f>AR!D16</f>
        <v>6511019.5831007604</v>
      </c>
      <c r="E16" s="9">
        <f t="shared" ca="1" si="1"/>
        <v>2993345.5938084461</v>
      </c>
      <c r="F16" s="9" cm="1">
        <f t="array" aca="1" ref="F16" ca="1">IF(B16&gt;$F$3,TREND(OFFSET($D$8,$F$3,0):$D$31,OFFSET($E$8,$F$3,0):$E$31,E16),"")</f>
        <v>5786128.0475667194</v>
      </c>
      <c r="G16" s="13"/>
      <c r="H16" s="10">
        <v>3292699.1332117636</v>
      </c>
      <c r="I16" s="9" t="str">
        <f t="shared" ca="1" si="2"/>
        <v/>
      </c>
      <c r="J16" s="9" t="str" cm="1">
        <f t="array" aca="1" ref="J16" ca="1">IF(B16&gt;$J$3,TREND(OFFSET($H$8,$J$3,0):$H$31,OFFSET($I$8,$J$3,0):$I$31,I16),"")</f>
        <v/>
      </c>
      <c r="K16" s="77"/>
      <c r="L16">
        <v>5</v>
      </c>
      <c r="M16">
        <v>0.88034528727145878</v>
      </c>
      <c r="N16">
        <v>0.87178673166531473</v>
      </c>
      <c r="O16">
        <v>0.85970999695532346</v>
      </c>
      <c r="P16">
        <v>0.84858572230265372</v>
      </c>
      <c r="Q16">
        <v>0.84313900431315347</v>
      </c>
      <c r="R16">
        <v>0.84550501850342097</v>
      </c>
      <c r="S16">
        <v>0.84164524934204277</v>
      </c>
      <c r="T16">
        <v>0.83182552395087361</v>
      </c>
      <c r="U16">
        <v>0.82559419685233637</v>
      </c>
      <c r="V16">
        <v>0.83188414024639457</v>
      </c>
      <c r="W16">
        <v>0.85223714664009009</v>
      </c>
      <c r="X16">
        <v>0.84924442080938189</v>
      </c>
    </row>
    <row r="17" spans="1:24" x14ac:dyDescent="0.25">
      <c r="A17" s="75"/>
      <c r="B17" s="1">
        <v>10</v>
      </c>
      <c r="C17" s="1">
        <v>2011</v>
      </c>
      <c r="D17" s="9">
        <f>AR!D17</f>
        <v>7448243.4494492188</v>
      </c>
      <c r="E17" s="9">
        <f t="shared" ca="1" si="1"/>
        <v>3292699.1332117636</v>
      </c>
      <c r="F17" s="9" cm="1">
        <f t="array" aca="1" ref="F17" ca="1">IF(B17&gt;$F$3,TREND(OFFSET($D$8,$F$3,0):$D$31,OFFSET($E$8,$F$3,0):$E$31,E17),"")</f>
        <v>6251775.7956639547</v>
      </c>
      <c r="G17" s="13"/>
      <c r="H17" s="10">
        <v>3631807.6</v>
      </c>
      <c r="I17" s="9" t="str">
        <f t="shared" ca="1" si="2"/>
        <v/>
      </c>
      <c r="J17" s="9" t="str" cm="1">
        <f t="array" aca="1" ref="J17" ca="1">IF(B17&gt;$J$3,TREND(OFFSET($H$8,$J$3,0):$H$31,OFFSET($I$8,$J$3,0):$I$31,I17),"")</f>
        <v/>
      </c>
      <c r="K17" s="77"/>
      <c r="L17">
        <v>6</v>
      </c>
      <c r="M17">
        <v>0.87621144849944443</v>
      </c>
      <c r="N17">
        <v>0.86765289289330028</v>
      </c>
      <c r="O17">
        <v>0.85557615818330923</v>
      </c>
      <c r="P17">
        <v>0.84445188353063938</v>
      </c>
      <c r="Q17">
        <v>0.83900516554113913</v>
      </c>
      <c r="R17">
        <v>0.84137117973140674</v>
      </c>
      <c r="S17">
        <v>0.83751141057002854</v>
      </c>
      <c r="T17">
        <v>0.82769168517885916</v>
      </c>
      <c r="U17">
        <v>0.82146035808032203</v>
      </c>
      <c r="V17">
        <v>0.82775030147438022</v>
      </c>
      <c r="W17">
        <v>0.84810330786807575</v>
      </c>
      <c r="X17">
        <v>0.84511058203736766</v>
      </c>
    </row>
    <row r="18" spans="1:24" x14ac:dyDescent="0.25">
      <c r="A18" s="75"/>
      <c r="B18" s="1">
        <v>11</v>
      </c>
      <c r="C18" s="1">
        <v>2012</v>
      </c>
      <c r="D18" s="9">
        <f>AR!D18</f>
        <v>8915955.3337932099</v>
      </c>
      <c r="E18" s="9">
        <f t="shared" ca="1" si="1"/>
        <v>3631807.6</v>
      </c>
      <c r="F18" s="9" cm="1">
        <f t="array" aca="1" ref="F18" ca="1">IF(B18&gt;$F$3,TREND(OFFSET($D$8,$F$3,0):$D$31,OFFSET($E$8,$F$3,0):$E$31,E18),"")</f>
        <v>6779262.7738884017</v>
      </c>
      <c r="G18" s="13"/>
      <c r="H18" s="10">
        <v>6188755.7403909471</v>
      </c>
      <c r="I18" s="9">
        <f t="shared" ca="1" si="2"/>
        <v>1523670.1312683504</v>
      </c>
      <c r="J18" s="9" cm="1">
        <f t="array" aca="1" ref="J18" ca="1">IF(B18&gt;$J$3,TREND(OFFSET($H$8,$J$3,0):$H$31,OFFSET($I$8,$J$3,0):$I$31,I18),"")</f>
        <v>5452194.0685231211</v>
      </c>
      <c r="K18" s="77"/>
      <c r="L18">
        <v>7</v>
      </c>
      <c r="M18">
        <v>0.87992628491054947</v>
      </c>
      <c r="N18">
        <v>0.87136772930440531</v>
      </c>
      <c r="O18">
        <v>0.85929099459441427</v>
      </c>
      <c r="P18">
        <v>0.84816671994174442</v>
      </c>
      <c r="Q18">
        <v>0.84272000195224417</v>
      </c>
      <c r="R18">
        <v>0.84508601614251178</v>
      </c>
      <c r="S18">
        <v>0.84122624698113357</v>
      </c>
      <c r="T18">
        <v>0.8314065215899642</v>
      </c>
      <c r="U18">
        <v>0.82517519449142707</v>
      </c>
      <c r="V18">
        <v>0.83146513788548526</v>
      </c>
      <c r="W18">
        <v>0.85181814427918079</v>
      </c>
      <c r="X18">
        <v>0.8488254184484727</v>
      </c>
    </row>
    <row r="19" spans="1:24" x14ac:dyDescent="0.25">
      <c r="A19" s="75"/>
      <c r="B19" s="1">
        <v>12</v>
      </c>
      <c r="C19" s="1">
        <v>2013</v>
      </c>
      <c r="D19" s="9">
        <f>AR!D19</f>
        <v>10017461.84195617</v>
      </c>
      <c r="E19" s="9">
        <f t="shared" ca="1" si="1"/>
        <v>6188755.7403909471</v>
      </c>
      <c r="F19" s="9" cm="1">
        <f t="array" aca="1" ref="F19" ca="1">IF(B19&gt;$F$3,TREND(OFFSET($D$8,$F$3,0):$D$31,OFFSET($E$8,$F$3,0):$E$31,E19),"")</f>
        <v>10756623.943386121</v>
      </c>
      <c r="G19" s="13"/>
      <c r="H19" s="10">
        <v>7066670.2263727253</v>
      </c>
      <c r="I19" s="9">
        <f t="shared" ca="1" si="2"/>
        <v>1899714.2822209885</v>
      </c>
      <c r="J19" s="9" cm="1">
        <f t="array" aca="1" ref="J19" ca="1">IF(B19&gt;$J$3,TREND(OFFSET($H$8,$J$3,0):$H$31,OFFSET($I$8,$J$3,0):$I$31,I19),"")</f>
        <v>5942779.6800828204</v>
      </c>
      <c r="K19" s="13"/>
      <c r="L19">
        <v>8</v>
      </c>
      <c r="M19">
        <v>0.89708416084175457</v>
      </c>
      <c r="N19">
        <v>0.88852560523561053</v>
      </c>
      <c r="O19">
        <v>0.87644887052561937</v>
      </c>
      <c r="P19">
        <v>0.86532459587294963</v>
      </c>
      <c r="Q19">
        <v>0.85987787788344927</v>
      </c>
      <c r="R19">
        <v>0.86224389207371688</v>
      </c>
      <c r="S19">
        <v>0.85838412291233868</v>
      </c>
      <c r="T19">
        <v>0.84856439752116941</v>
      </c>
      <c r="U19">
        <v>0.84233307042263217</v>
      </c>
      <c r="V19">
        <v>0.84862301381669036</v>
      </c>
      <c r="W19">
        <v>0.868976020210386</v>
      </c>
      <c r="X19">
        <v>0.8659832943796778</v>
      </c>
    </row>
    <row r="20" spans="1:24" x14ac:dyDescent="0.25">
      <c r="A20" s="75"/>
      <c r="B20" s="1">
        <v>13</v>
      </c>
      <c r="C20" s="1">
        <v>2014</v>
      </c>
      <c r="D20" s="9">
        <f>AR!D20</f>
        <v>9925208.0999999996</v>
      </c>
      <c r="E20" s="9">
        <f t="shared" ca="1" si="1"/>
        <v>7066670.2263727253</v>
      </c>
      <c r="F20" s="9" cm="1">
        <f t="array" aca="1" ref="F20" ca="1">IF(B20&gt;$F$3,TREND(OFFSET($D$8,$F$3,0):$D$31,OFFSET($E$8,$F$3,0):$E$31,E20),"")</f>
        <v>12122229.655729428</v>
      </c>
      <c r="G20" s="13"/>
      <c r="H20" s="10">
        <v>7517411.2509606024</v>
      </c>
      <c r="I20" s="9">
        <f t="shared" ca="1" si="2"/>
        <v>2271976.8034374709</v>
      </c>
      <c r="J20" s="9" cm="1">
        <f t="array" aca="1" ref="J20" ca="1">IF(B20&gt;$J$3,TREND(OFFSET($H$8,$J$3,0):$H$31,OFFSET($I$8,$J$3,0):$I$31,I20),"")</f>
        <v>6428431.7934559239</v>
      </c>
      <c r="K20" s="13"/>
      <c r="L20">
        <v>9</v>
      </c>
      <c r="M20">
        <v>0.92431737688058968</v>
      </c>
      <c r="N20">
        <v>0.91575882127444563</v>
      </c>
      <c r="O20">
        <v>0.90368208656445437</v>
      </c>
      <c r="P20">
        <v>0.89255781191178463</v>
      </c>
      <c r="Q20">
        <v>0.88711109392228438</v>
      </c>
      <c r="R20">
        <v>0.88947710811255187</v>
      </c>
      <c r="S20">
        <v>0.88561733895117367</v>
      </c>
      <c r="T20">
        <v>0.87579761356000452</v>
      </c>
      <c r="U20">
        <v>0.86956628646146727</v>
      </c>
      <c r="V20">
        <v>0.87585622985552547</v>
      </c>
      <c r="W20">
        <v>0.896209236249221</v>
      </c>
      <c r="X20">
        <v>0.8932165104185128</v>
      </c>
    </row>
    <row r="21" spans="1:24" x14ac:dyDescent="0.25">
      <c r="A21" s="75"/>
      <c r="B21" s="1">
        <v>14</v>
      </c>
      <c r="C21" s="1">
        <v>2015</v>
      </c>
      <c r="D21" s="9">
        <f>AR!D21</f>
        <v>10706582.1</v>
      </c>
      <c r="E21" s="9">
        <f t="shared" ca="1" si="1"/>
        <v>7517411.2509606024</v>
      </c>
      <c r="F21" s="9" cm="1">
        <f t="array" aca="1" ref="F21" ca="1">IF(B21&gt;$F$3,TREND(OFFSET($D$8,$F$3,0):$D$31,OFFSET($E$8,$F$3,0):$E$31,E21),"")</f>
        <v>12823362.314767765</v>
      </c>
      <c r="G21" s="13"/>
      <c r="H21" s="10">
        <v>7806214.914021723</v>
      </c>
      <c r="I21" s="9">
        <f t="shared" ca="1" si="2"/>
        <v>2745199.6299384595</v>
      </c>
      <c r="J21" s="9" cm="1">
        <f t="array" aca="1" ref="J21" ca="1">IF(B21&gt;$J$3,TREND(OFFSET($H$8,$J$3,0):$H$31,OFFSET($I$8,$J$3,0):$I$31,I21),"")</f>
        <v>7045796.2948179888</v>
      </c>
      <c r="K21" s="13"/>
      <c r="L21">
        <v>10</v>
      </c>
      <c r="M21">
        <v>0.94915849285248122</v>
      </c>
      <c r="N21">
        <v>0.94059993724633706</v>
      </c>
      <c r="O21">
        <v>0.9285232025363459</v>
      </c>
      <c r="P21">
        <v>0.91739892788367605</v>
      </c>
      <c r="Q21">
        <v>0.91195220989417591</v>
      </c>
      <c r="R21">
        <v>0.91431822408444341</v>
      </c>
      <c r="S21">
        <v>0.91045845492306521</v>
      </c>
      <c r="T21">
        <v>0.90063872953189594</v>
      </c>
      <c r="U21">
        <v>0.89440740243335881</v>
      </c>
      <c r="V21">
        <v>0.90069734582741701</v>
      </c>
      <c r="W21">
        <v>0.92105035222111242</v>
      </c>
      <c r="X21">
        <v>0.91805762639040434</v>
      </c>
    </row>
    <row r="22" spans="1:24" x14ac:dyDescent="0.25">
      <c r="A22" s="75"/>
      <c r="B22" s="1">
        <v>15</v>
      </c>
      <c r="C22" s="1">
        <v>2016</v>
      </c>
      <c r="D22" s="9">
        <f>AR!D22</f>
        <v>11852881.700000001</v>
      </c>
      <c r="E22" s="9">
        <f t="shared" ca="1" si="1"/>
        <v>7806214.914021723</v>
      </c>
      <c r="F22" s="9" cm="1">
        <f t="array" aca="1" ref="F22" ca="1">IF(B22&gt;$F$3,TREND(OFFSET($D$8,$F$3,0):$D$31,OFFSET($E$8,$F$3,0):$E$31,E22),"")</f>
        <v>13272599.613296775</v>
      </c>
      <c r="G22" s="13"/>
      <c r="H22" s="10">
        <v>8342022.5787704289</v>
      </c>
      <c r="I22" s="9">
        <f t="shared" ca="1" si="2"/>
        <v>3476075.5445336094</v>
      </c>
      <c r="J22" s="9" cm="1">
        <f t="array" aca="1" ref="J22" ca="1">IF(B22&gt;$J$3,TREND(OFFSET($H$8,$J$3,0):$H$31,OFFSET($I$8,$J$3,0):$I$31,I22),"")</f>
        <v>7999293.9270177642</v>
      </c>
      <c r="K22" s="13"/>
      <c r="L22">
        <v>11</v>
      </c>
      <c r="M22">
        <v>0.96755589189195224</v>
      </c>
      <c r="N22">
        <v>0.95899733628580808</v>
      </c>
      <c r="O22">
        <v>0.94692060157581692</v>
      </c>
      <c r="P22">
        <v>0.93579632692314707</v>
      </c>
      <c r="Q22">
        <v>0.93034960893364693</v>
      </c>
      <c r="R22">
        <v>0.93271562312391443</v>
      </c>
      <c r="S22">
        <v>0.92885585396253623</v>
      </c>
      <c r="T22">
        <v>0.91903612857136696</v>
      </c>
      <c r="U22">
        <v>0.91280480147282983</v>
      </c>
      <c r="V22">
        <v>0.91909474486688802</v>
      </c>
      <c r="W22">
        <v>0.93944775126058344</v>
      </c>
      <c r="X22">
        <v>0.93645502542987535</v>
      </c>
    </row>
    <row r="23" spans="1:24" x14ac:dyDescent="0.25">
      <c r="A23" s="75"/>
      <c r="B23" s="1">
        <v>16</v>
      </c>
      <c r="C23" s="1">
        <v>2017</v>
      </c>
      <c r="D23" s="9">
        <f>AR!D23</f>
        <v>12766002.800000001</v>
      </c>
      <c r="E23" s="9">
        <f t="shared" ca="1" si="1"/>
        <v>8342022.5787704289</v>
      </c>
      <c r="F23" s="9" cm="1">
        <f t="array" aca="1" ref="F23" ca="1">IF(B23&gt;$F$3,TREND(OFFSET($D$8,$F$3,0):$D$31,OFFSET($E$8,$F$3,0):$E$31,E23),"")</f>
        <v>14106054.373847732</v>
      </c>
      <c r="G23" s="13"/>
      <c r="H23" s="10">
        <v>8435287.0999999996</v>
      </c>
      <c r="I23" s="9">
        <f t="shared" ca="1" si="2"/>
        <v>4183589.0473623835</v>
      </c>
      <c r="J23" s="9" cm="1">
        <f t="array" aca="1" ref="J23" ca="1">IF(B23&gt;$J$3,TREND(OFFSET($H$8,$J$3,0):$H$31,OFFSET($I$8,$J$3,0):$I$31,I23),"")</f>
        <v>8922313.0554703549</v>
      </c>
      <c r="K23" s="13"/>
      <c r="L23">
        <v>12</v>
      </c>
      <c r="M23">
        <v>0.96090684134628113</v>
      </c>
      <c r="N23">
        <v>0.95234828574013708</v>
      </c>
      <c r="O23">
        <v>0.94027155103014581</v>
      </c>
      <c r="P23">
        <v>0.92914727637747607</v>
      </c>
      <c r="Q23">
        <v>0.92370055838797582</v>
      </c>
      <c r="R23">
        <v>0.92606657257824332</v>
      </c>
      <c r="S23">
        <v>0.92220680341686512</v>
      </c>
      <c r="T23">
        <v>0.91238707802569596</v>
      </c>
      <c r="U23">
        <v>0.90615575092715872</v>
      </c>
      <c r="V23">
        <v>0.91244569432121692</v>
      </c>
      <c r="W23">
        <v>0.93279870071491244</v>
      </c>
      <c r="X23">
        <v>0.92980597488420424</v>
      </c>
    </row>
    <row r="24" spans="1:24" x14ac:dyDescent="0.25">
      <c r="A24" s="75"/>
      <c r="B24" s="1">
        <v>17</v>
      </c>
      <c r="C24" s="1">
        <v>2018</v>
      </c>
      <c r="D24" s="9">
        <f>AR!D24</f>
        <v>13515794</v>
      </c>
      <c r="E24" s="9">
        <f t="shared" ca="1" si="1"/>
        <v>8435287.0999999996</v>
      </c>
      <c r="F24" s="9" cm="1">
        <f t="array" aca="1" ref="F24" ca="1">IF(B24&gt;$F$3,TREND(OFFSET($D$8,$F$3,0):$D$31,OFFSET($E$8,$F$3,0):$E$31,E24),"")</f>
        <v>14251128.370214971</v>
      </c>
      <c r="G24" s="13"/>
      <c r="H24" s="10">
        <v>8889867.7000000011</v>
      </c>
      <c r="I24" s="9">
        <f t="shared" ca="1" si="2"/>
        <v>5380452.4239379605</v>
      </c>
      <c r="J24" s="9" cm="1">
        <f t="array" aca="1" ref="J24" ca="1">IF(B24&gt;$J$3,TREND(OFFSET($H$8,$J$3,0):$H$31,OFFSET($I$8,$J$3,0):$I$31,I24),"")</f>
        <v>10483735.963028587</v>
      </c>
      <c r="K24" s="13"/>
    </row>
    <row r="25" spans="1:24" x14ac:dyDescent="0.25">
      <c r="A25" s="75"/>
      <c r="B25" s="1">
        <v>18</v>
      </c>
      <c r="C25" s="1">
        <v>2019</v>
      </c>
      <c r="D25" s="9">
        <f>AR!D25</f>
        <v>13615271.9</v>
      </c>
      <c r="E25" s="9">
        <f t="shared" ca="1" si="1"/>
        <v>8889867.7000000011</v>
      </c>
      <c r="F25" s="9" cm="1">
        <f t="array" aca="1" ref="F25" ca="1">IF(B25&gt;$F$3,TREND(OFFSET($D$8,$F$3,0):$D$31,OFFSET($E$8,$F$3,0):$E$31,E25),"")</f>
        <v>14958233.531358575</v>
      </c>
      <c r="G25" s="13"/>
      <c r="H25" s="10">
        <v>9438926.0500000007</v>
      </c>
      <c r="I25" s="9">
        <f t="shared" ca="1" si="2"/>
        <v>5857652.2365358304</v>
      </c>
      <c r="J25" s="9" cm="1">
        <f t="array" aca="1" ref="J25" ca="1">IF(B25&gt;$J$3,TREND(OFFSET($H$8,$J$3,0):$H$31,OFFSET($I$8,$J$3,0):$I$31,I25),"")</f>
        <v>11106288.823660597</v>
      </c>
      <c r="K25" s="13"/>
    </row>
    <row r="26" spans="1:24" x14ac:dyDescent="0.25">
      <c r="A26" s="75"/>
      <c r="B26" s="1">
        <v>19</v>
      </c>
      <c r="C26" s="1">
        <v>2020</v>
      </c>
      <c r="D26" s="9">
        <f>AR!D26</f>
        <v>14544325.699999999</v>
      </c>
      <c r="E26" s="9">
        <f t="shared" ca="1" si="1"/>
        <v>9438926.0500000007</v>
      </c>
      <c r="F26" s="9" cm="1">
        <f t="array" aca="1" ref="F26" ca="1">IF(B26&gt;$F$3,TREND(OFFSET($D$8,$F$3,0):$D$31,OFFSET($E$8,$F$3,0):$E$31,E26),"")</f>
        <v>15812299.879667301</v>
      </c>
      <c r="G26" s="13"/>
      <c r="H26" s="10">
        <v>9987984.4000000004</v>
      </c>
      <c r="I26" s="9">
        <f t="shared" ca="1" si="2"/>
        <v>6511019.5831007604</v>
      </c>
      <c r="J26" s="9" cm="1">
        <f t="array" aca="1" ref="J26" ca="1">IF(B26&gt;$J$3,TREND(OFFSET($H$8,$J$3,0):$H$31,OFFSET($I$8,$J$3,0):$I$31,I26),"")</f>
        <v>11958669.105272964</v>
      </c>
      <c r="K26" s="13"/>
    </row>
    <row r="27" spans="1:24" x14ac:dyDescent="0.25">
      <c r="A27" s="75"/>
      <c r="B27" s="1">
        <v>20</v>
      </c>
      <c r="C27" s="1">
        <v>2021</v>
      </c>
      <c r="D27" s="9">
        <f>AR!D27</f>
        <v>16406490.399999999</v>
      </c>
      <c r="E27" s="9">
        <f t="shared" ca="1" si="1"/>
        <v>9987984.4000000004</v>
      </c>
      <c r="F27" s="9" cm="1">
        <f t="array" aca="1" ref="F27" ca="1">IF(B27&gt;$F$3,TREND(OFFSET($D$8,$F$3,0):$D$31,OFFSET($E$8,$F$3,0):$E$31,E27),"")</f>
        <v>16666366.227976028</v>
      </c>
      <c r="G27" s="13"/>
      <c r="H27" s="10">
        <v>10979479.5</v>
      </c>
      <c r="I27" s="9">
        <f t="shared" ca="1" si="2"/>
        <v>7448243.4494492188</v>
      </c>
      <c r="J27" s="9" cm="1">
        <f t="array" aca="1" ref="J27" ca="1">IF(B27&gt;$J$3,TREND(OFFSET($H$8,$J$3,0):$H$31,OFFSET($I$8,$J$3,0):$I$31,I27),"")</f>
        <v>13181367.404066108</v>
      </c>
      <c r="K27" s="13"/>
    </row>
    <row r="28" spans="1:24" ht="15" customHeight="1" x14ac:dyDescent="0.25">
      <c r="A28" s="75"/>
      <c r="B28" s="1">
        <v>21</v>
      </c>
      <c r="C28" s="1">
        <v>2022</v>
      </c>
      <c r="D28" s="9">
        <f>AR!D28</f>
        <v>19738622.600000001</v>
      </c>
      <c r="E28" s="9">
        <f t="shared" ca="1" si="1"/>
        <v>10979479.5</v>
      </c>
      <c r="F28" s="9" cm="1">
        <f t="array" aca="1" ref="F28" ca="1">IF(B28&gt;$F$3,TREND(OFFSET($D$8,$F$3,0):$D$31,OFFSET($E$8,$F$3,0):$E$31,E28),"")</f>
        <v>18208647.844170365</v>
      </c>
      <c r="G28" s="13"/>
      <c r="H28" s="10">
        <v>13819986.5</v>
      </c>
      <c r="I28" s="9">
        <f t="shared" ca="1" si="2"/>
        <v>8915955.3337932099</v>
      </c>
      <c r="J28" s="9" cm="1">
        <f t="array" aca="1" ref="J28" ca="1">IF(B28&gt;$J$3,TREND(OFFSET($H$8,$J$3,0):$H$31,OFFSET($I$8,$J$3,0):$I$31,I28),"")</f>
        <v>15096138.131253995</v>
      </c>
      <c r="K28" s="13"/>
    </row>
    <row r="29" spans="1:24" ht="15" customHeight="1" x14ac:dyDescent="0.25">
      <c r="A29" s="75"/>
      <c r="B29" s="1">
        <v>22</v>
      </c>
      <c r="C29" s="1">
        <v>2023</v>
      </c>
      <c r="D29" s="9">
        <f>AR!D29</f>
        <v>24340433.200000003</v>
      </c>
      <c r="E29" s="9">
        <f t="shared" ca="1" si="1"/>
        <v>13819986.5</v>
      </c>
      <c r="F29" s="9" cm="1">
        <f t="array" aca="1" ref="F29" ca="1">IF(B29&gt;$F$3,TREND(OFFSET($D$8,$F$3,0):$D$31,OFFSET($E$8,$F$3,0):$E$31,E29),"")</f>
        <v>22627087.962302398</v>
      </c>
      <c r="G29" s="13"/>
      <c r="H29" s="10">
        <v>16660493.5</v>
      </c>
      <c r="I29" s="9">
        <f t="shared" ca="1" si="2"/>
        <v>10017461.84195617</v>
      </c>
      <c r="J29" s="9" cm="1">
        <f t="array" aca="1" ref="J29" ca="1">IF(B29&gt;$J$3,TREND(OFFSET($H$8,$J$3,0):$H$31,OFFSET($I$8,$J$3,0):$I$31,I29),"")</f>
        <v>16533158.870906916</v>
      </c>
      <c r="K29" s="13"/>
    </row>
    <row r="30" spans="1:24" ht="15" customHeight="1" x14ac:dyDescent="0.25">
      <c r="A30" s="76"/>
      <c r="B30" s="1">
        <v>23</v>
      </c>
      <c r="C30" s="1">
        <v>2024</v>
      </c>
      <c r="D30" s="9">
        <f>AR!D30</f>
        <v>29177253.5</v>
      </c>
      <c r="E30" s="9">
        <f t="shared" ca="1" si="1"/>
        <v>16660493.5</v>
      </c>
      <c r="F30" s="9" cm="1">
        <f t="array" aca="1" ref="F30" ca="1">IF(B30&gt;$F$3,TREND(OFFSET($D$8,$F$3,0):$D$31,OFFSET($E$8,$F$3,0):$E$31,E30),"")</f>
        <v>27045528.08043443</v>
      </c>
      <c r="G30" s="13"/>
      <c r="H30" s="10">
        <v>20267549.700000003</v>
      </c>
      <c r="I30" s="9">
        <f t="shared" ca="1" si="2"/>
        <v>9925208.0999999996</v>
      </c>
      <c r="J30" s="9" cm="1">
        <f t="array" aca="1" ref="J30" ca="1">IF(B30&gt;$J$3,TREND(OFFSET($H$8,$J$3,0):$H$31,OFFSET($I$8,$J$3,0):$I$31,I30),"")</f>
        <v>16412805.028674334</v>
      </c>
      <c r="K30" s="13"/>
    </row>
    <row r="31" spans="1:24" ht="15" customHeight="1" x14ac:dyDescent="0.25">
      <c r="A31" s="45"/>
      <c r="B31" s="1">
        <v>24</v>
      </c>
      <c r="C31" s="1">
        <v>2025</v>
      </c>
      <c r="D31" s="9">
        <f>AR!D31</f>
        <v>32463740.899999999</v>
      </c>
      <c r="E31" s="9">
        <f t="shared" ca="1" si="1"/>
        <v>20267549.700000003</v>
      </c>
      <c r="F31" s="9" cm="1">
        <f t="array" aca="1" ref="F31" ca="1">IF(B31&gt;$F$3,TREND(OFFSET($D$8,$F$3,0):$D$31,OFFSET($E$8,$F$3,0):$E$31,E31),"")</f>
        <v>32656343.97437058</v>
      </c>
      <c r="G31" s="13"/>
      <c r="H31" s="60">
        <v>18594505.235589996</v>
      </c>
      <c r="I31" s="9">
        <f t="shared" ca="1" si="2"/>
        <v>10706582.1</v>
      </c>
      <c r="J31" s="9" cm="1">
        <f t="array" aca="1" ref="J31" ca="1">IF(B31&gt;$J$3,TREND(OFFSET($H$8,$J$3,0):$H$31,OFFSET($I$8,$J$3,0):$I$31,I31),"")</f>
        <v>17432182.249874957</v>
      </c>
      <c r="K31" s="13"/>
    </row>
    <row r="32" spans="1:24" ht="15" customHeight="1" x14ac:dyDescent="0.25">
      <c r="A32" s="72" t="s">
        <v>21</v>
      </c>
      <c r="B32" s="1">
        <v>25</v>
      </c>
      <c r="C32" s="1">
        <v>2026</v>
      </c>
      <c r="D32" s="9">
        <f ca="1">F32</f>
        <v>30053904.768634457</v>
      </c>
      <c r="E32" s="9">
        <f t="shared" ca="1" si="1"/>
        <v>18594505.235589996</v>
      </c>
      <c r="F32" s="9" cm="1">
        <f t="array" aca="1" ref="F32" ca="1">IF(B32&gt;$F$3,TREND(OFFSET($D$8,$F$3,0):$D$31,OFFSET($E$8,$F$3,0):$E$31,E32),"")</f>
        <v>30053904.768634457</v>
      </c>
      <c r="G32" s="13"/>
      <c r="H32" s="10">
        <f ca="1">J32</f>
        <v>18927639.868008383</v>
      </c>
      <c r="I32" s="9">
        <f ca="1">IF(B32&gt;$J$3,OFFSET(D32,-$J$3,0),"")</f>
        <v>11852881.700000001</v>
      </c>
      <c r="J32" s="9" cm="1">
        <f t="array" aca="1" ref="J32" ca="1">IF(B32&gt;$J$3,TREND(OFFSET($H$8,$J$3,0):$H$31,OFFSET($I$8,$J$3,0):$I$31,I32),"")</f>
        <v>18927639.868008383</v>
      </c>
      <c r="K32" s="13"/>
    </row>
    <row r="33" spans="1:11" ht="15" customHeight="1" x14ac:dyDescent="0.25">
      <c r="A33" s="72"/>
      <c r="B33" s="1">
        <v>26</v>
      </c>
      <c r="C33" s="1">
        <v>2027</v>
      </c>
      <c r="D33" s="9">
        <f t="shared" ref="D33:D41" ca="1" si="3">F33</f>
        <v>30572099.381292187</v>
      </c>
      <c r="E33" s="9">
        <f t="shared" ca="1" si="1"/>
        <v>18927639.868008383</v>
      </c>
      <c r="F33" s="9" cm="1">
        <f t="array" aca="1" ref="F33" ca="1">IF(B33&gt;$F$3,TREND(OFFSET($D$8,$F$3,0):$D$31,OFFSET($E$8,$F$3,0):$E$31,E33),"")</f>
        <v>30572099.381292187</v>
      </c>
      <c r="G33" s="13"/>
      <c r="H33" s="10">
        <f t="shared" ref="H33:H41" ca="1" si="4">J33</f>
        <v>20118893.799592562</v>
      </c>
      <c r="I33" s="9">
        <f t="shared" ca="1" si="2"/>
        <v>12766002.800000001</v>
      </c>
      <c r="J33" s="9" cm="1">
        <f t="array" aca="1" ref="J33" ca="1">IF(B33&gt;$J$3,TREND(OFFSET($H$8,$J$3,0):$H$31,OFFSET($I$8,$J$3,0):$I$31,I33),"")</f>
        <v>20118893.799592562</v>
      </c>
      <c r="K33" s="13"/>
    </row>
    <row r="34" spans="1:11" ht="15" customHeight="1" x14ac:dyDescent="0.25">
      <c r="A34" s="72"/>
      <c r="B34" s="1">
        <v>27</v>
      </c>
      <c r="C34" s="1">
        <v>2028</v>
      </c>
      <c r="D34" s="9">
        <f t="shared" ca="1" si="3"/>
        <v>32425108.0738228</v>
      </c>
      <c r="E34" s="9">
        <f t="shared" ca="1" si="1"/>
        <v>20118893.799592562</v>
      </c>
      <c r="F34" s="9" cm="1">
        <f t="array" aca="1" ref="F34" ca="1">IF(B34&gt;$F$3,TREND(OFFSET($D$8,$F$3,0):$D$31,OFFSET($E$8,$F$3,0):$E$31,E34),"")</f>
        <v>32425108.0738228</v>
      </c>
      <c r="G34" s="13"/>
      <c r="H34" s="10">
        <f t="shared" ca="1" si="4"/>
        <v>21097068.233265396</v>
      </c>
      <c r="I34" s="9">
        <f t="shared" ca="1" si="2"/>
        <v>13515794</v>
      </c>
      <c r="J34" s="9" cm="1">
        <f t="array" aca="1" ref="J34" ca="1">IF(B34&gt;$J$3,TREND(OFFSET($H$8,$J$3,0):$H$31,OFFSET($I$8,$J$3,0):$I$31,I34),"")</f>
        <v>21097068.233265396</v>
      </c>
      <c r="K34" s="13"/>
    </row>
    <row r="35" spans="1:11" ht="15" customHeight="1" x14ac:dyDescent="0.25">
      <c r="A35" s="72"/>
      <c r="B35" s="1">
        <v>28</v>
      </c>
      <c r="C35" s="1">
        <v>2029</v>
      </c>
      <c r="D35" s="9">
        <f t="shared" ca="1" si="3"/>
        <v>33946669.245920286</v>
      </c>
      <c r="E35" s="9">
        <f t="shared" ca="1" si="1"/>
        <v>21097068.233265396</v>
      </c>
      <c r="F35" s="9" cm="1">
        <f t="array" aca="1" ref="F35" ca="1">IF(B35&gt;$F$3,TREND(OFFSET($D$8,$F$3,0):$D$31,OFFSET($E$8,$F$3,0):$E$31,E35),"")</f>
        <v>33946669.245920286</v>
      </c>
      <c r="G35" s="13"/>
      <c r="H35" s="10">
        <f t="shared" ca="1" si="4"/>
        <v>21226846.681579359</v>
      </c>
      <c r="I35" s="9">
        <f t="shared" ca="1" si="2"/>
        <v>13615271.9</v>
      </c>
      <c r="J35" s="9" cm="1">
        <f t="array" aca="1" ref="J35" ca="1">IF(B35&gt;$J$3,TREND(OFFSET($H$8,$J$3,0):$H$31,OFFSET($I$8,$J$3,0):$I$31,I35),"")</f>
        <v>21226846.681579359</v>
      </c>
      <c r="K35" s="13"/>
    </row>
    <row r="36" spans="1:11" ht="15" customHeight="1" x14ac:dyDescent="0.25">
      <c r="A36" s="72"/>
      <c r="B36" s="1">
        <v>29</v>
      </c>
      <c r="C36" s="1">
        <v>2030</v>
      </c>
      <c r="D36" s="9">
        <f t="shared" ca="1" si="3"/>
        <v>34148541.06052921</v>
      </c>
      <c r="E36" s="9">
        <f t="shared" ca="1" si="1"/>
        <v>21226846.681579359</v>
      </c>
      <c r="F36" s="9" cm="1">
        <f t="array" aca="1" ref="F36" ca="1">IF(B36&gt;$F$3,TREND(OFFSET($D$8,$F$3,0):$D$31,OFFSET($E$8,$F$3,0):$E$31,E36),"")</f>
        <v>34148541.06052921</v>
      </c>
      <c r="G36" s="13"/>
      <c r="H36" s="10">
        <f t="shared" ca="1" si="4"/>
        <v>22438886.346310817</v>
      </c>
      <c r="I36" s="9">
        <f t="shared" ca="1" si="2"/>
        <v>14544325.699999999</v>
      </c>
      <c r="J36" s="9" cm="1">
        <f t="array" aca="1" ref="J36" ca="1">IF(B36&gt;$J$3,TREND(OFFSET($H$8,$J$3,0):$H$31,OFFSET($I$8,$J$3,0):$I$31,I36),"")</f>
        <v>22438886.346310817</v>
      </c>
      <c r="K36" s="13"/>
    </row>
    <row r="37" spans="1:11" x14ac:dyDescent="0.25">
      <c r="A37" s="72"/>
      <c r="B37" s="1">
        <v>30</v>
      </c>
      <c r="C37" s="1">
        <v>2031</v>
      </c>
      <c r="D37" s="9">
        <f t="shared" ca="1" si="3"/>
        <v>36033882.191326201</v>
      </c>
      <c r="E37" s="9">
        <f t="shared" ca="1" si="1"/>
        <v>22438886.346310817</v>
      </c>
      <c r="F37" s="9" cm="1">
        <f t="array" aca="1" ref="F37" ca="1">IF(B37&gt;$F$3,TREND(OFFSET($D$8,$F$3,0):$D$31,OFFSET($E$8,$F$3,0):$E$31,E37),"")</f>
        <v>36033882.191326201</v>
      </c>
      <c r="G37" s="13"/>
      <c r="H37" s="10">
        <f t="shared" ca="1" si="4"/>
        <v>24868258.55130342</v>
      </c>
      <c r="I37" s="9">
        <f t="shared" ca="1" si="2"/>
        <v>16406490.399999999</v>
      </c>
      <c r="J37" s="9" cm="1">
        <f t="array" aca="1" ref="J37" ca="1">IF(B37&gt;$J$3,TREND(OFFSET($H$8,$J$3,0):$H$31,OFFSET($I$8,$J$3,0):$I$31,I37),"")</f>
        <v>24868258.55130342</v>
      </c>
      <c r="K37" s="13"/>
    </row>
    <row r="38" spans="1:11" x14ac:dyDescent="0.25">
      <c r="A38" s="72"/>
      <c r="B38" s="1">
        <v>31</v>
      </c>
      <c r="C38" s="1">
        <v>2032</v>
      </c>
      <c r="D38" s="9">
        <f t="shared" ca="1" si="3"/>
        <v>39812797.579464376</v>
      </c>
      <c r="E38" s="9">
        <f t="shared" ca="1" si="1"/>
        <v>24868258.55130342</v>
      </c>
      <c r="F38" s="9" cm="1">
        <f t="array" aca="1" ref="F38" ca="1">IF(B38&gt;$F$3,TREND(OFFSET($D$8,$F$3,0):$D$31,OFFSET($E$8,$F$3,0):$E$31,E38),"")</f>
        <v>39812797.579464376</v>
      </c>
      <c r="G38" s="13"/>
      <c r="H38" s="10">
        <f t="shared" ca="1" si="4"/>
        <v>29215344.150144849</v>
      </c>
      <c r="I38" s="9">
        <f t="shared" ca="1" si="2"/>
        <v>19738622.600000001</v>
      </c>
      <c r="J38" s="9" cm="1">
        <f t="array" aca="1" ref="J38" ca="1">IF(B38&gt;$J$3,TREND(OFFSET($H$8,$J$3,0):$H$31,OFFSET($I$8,$J$3,0):$I$31,I38),"")</f>
        <v>29215344.150144849</v>
      </c>
      <c r="K38" s="13"/>
    </row>
    <row r="39" spans="1:11" x14ac:dyDescent="0.25">
      <c r="A39" s="72"/>
      <c r="B39" s="1">
        <v>32</v>
      </c>
      <c r="C39" s="1">
        <v>2033</v>
      </c>
      <c r="D39" s="9">
        <f t="shared" ca="1" si="3"/>
        <v>46574737.404599458</v>
      </c>
      <c r="E39" s="9">
        <f t="shared" ca="1" si="1"/>
        <v>29215344.150144849</v>
      </c>
      <c r="F39" s="9" cm="1">
        <f t="array" aca="1" ref="F39" ca="1">IF(B39&gt;$F$3,TREND(OFFSET($D$8,$F$3,0):$D$31,OFFSET($E$8,$F$3,0):$E$31,E39),"")</f>
        <v>46574737.404599458</v>
      </c>
      <c r="G39" s="13"/>
      <c r="H39" s="10">
        <f t="shared" ca="1" si="4"/>
        <v>35218846.82865677</v>
      </c>
      <c r="I39" s="9">
        <f t="shared" ca="1" si="2"/>
        <v>24340433.200000003</v>
      </c>
      <c r="J39" s="9" cm="1">
        <f t="array" aca="1" ref="J39" ca="1">IF(B39&gt;$J$3,TREND(OFFSET($H$8,$J$3,0):$H$31,OFFSET($I$8,$J$3,0):$I$31,I39),"")</f>
        <v>35218846.82865677</v>
      </c>
    </row>
    <row r="40" spans="1:11" x14ac:dyDescent="0.25">
      <c r="A40" s="72"/>
      <c r="B40" s="1">
        <v>33</v>
      </c>
      <c r="C40" s="1">
        <v>2034</v>
      </c>
      <c r="D40" s="9">
        <f t="shared" ca="1" si="3"/>
        <v>55913252.354237035</v>
      </c>
      <c r="E40" s="9">
        <f t="shared" ca="1" si="1"/>
        <v>35218846.82865677</v>
      </c>
      <c r="F40" s="9" cm="1">
        <f t="array" aca="1" ref="F40" ca="1">IF(B40&gt;$F$3,TREND(OFFSET($D$8,$F$3,0):$D$31,OFFSET($E$8,$F$3,0):$E$31,E40),"")</f>
        <v>55913252.354237035</v>
      </c>
      <c r="G40" s="13"/>
      <c r="H40" s="10">
        <f t="shared" ca="1" si="4"/>
        <v>41528942.169506043</v>
      </c>
      <c r="I40" s="9">
        <f t="shared" ca="1" si="2"/>
        <v>29177253.5</v>
      </c>
      <c r="J40" s="9" cm="1">
        <f t="array" aca="1" ref="J40" ca="1">IF(B40&gt;$J$3,TREND(OFFSET($H$8,$J$3,0):$H$31,OFFSET($I$8,$J$3,0):$I$31,I40),"")</f>
        <v>41528942.169506043</v>
      </c>
    </row>
    <row r="41" spans="1:11" x14ac:dyDescent="0.25">
      <c r="A41" s="72"/>
      <c r="B41" s="1">
        <v>34</v>
      </c>
      <c r="C41" s="1">
        <v>2035</v>
      </c>
      <c r="D41" s="9">
        <f t="shared" ca="1" si="3"/>
        <v>65728675.587922581</v>
      </c>
      <c r="E41" s="9">
        <f t="shared" ca="1" si="1"/>
        <v>41528942.169506043</v>
      </c>
      <c r="F41" s="9" cm="1">
        <f t="array" aca="1" ref="F41" ca="1">IF(B41&gt;$F$3,TREND(OFFSET($D$8,$F$3,0):$D$31,OFFSET($E$8,$F$3,0):$E$31,E41),"")</f>
        <v>65728675.587922581</v>
      </c>
      <c r="G41" s="13"/>
      <c r="H41" s="10">
        <f t="shared" ca="1" si="4"/>
        <v>45816479.754993737</v>
      </c>
      <c r="I41" s="9">
        <f t="shared" ca="1" si="2"/>
        <v>32463740.899999999</v>
      </c>
      <c r="J41" s="9" cm="1">
        <f t="array" aca="1" ref="J41" ca="1">IF(B41&gt;$J$3,TREND(OFFSET($H$8,$J$3,0):$H$31,OFFSET($I$8,$J$3,0):$I$31,I41),"")</f>
        <v>45816479.754993737</v>
      </c>
    </row>
  </sheetData>
  <mergeCells count="4">
    <mergeCell ref="A32:A41"/>
    <mergeCell ref="A8:A30"/>
    <mergeCell ref="M10:S10"/>
    <mergeCell ref="K12:K18"/>
  </mergeCells>
  <phoneticPr fontId="9" type="noConversion"/>
  <conditionalFormatting sqref="M12:X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41" r:id="rId3" name="Spinner 49">
              <controlPr defaultSize="0" autoPict="0">
                <anchor moveWithCells="1" sizeWithCells="1">
                  <from>
                    <xdr:col>5</xdr:col>
                    <xdr:colOff>866775</xdr:colOff>
                    <xdr:row>1</xdr:row>
                    <xdr:rowOff>9525</xdr:rowOff>
                  </from>
                  <to>
                    <xdr:col>6</xdr:col>
                    <xdr:colOff>142875</xdr:colOff>
                    <xdr:row>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4" name="Spinner 50">
              <controlPr defaultSize="0" autoPict="0">
                <anchor moveWithCells="1" sizeWithCells="1">
                  <from>
                    <xdr:col>9</xdr:col>
                    <xdr:colOff>876300</xdr:colOff>
                    <xdr:row>0</xdr:row>
                    <xdr:rowOff>190500</xdr:rowOff>
                  </from>
                  <to>
                    <xdr:col>10</xdr:col>
                    <xdr:colOff>152400</xdr:colOff>
                    <xdr:row>3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E553-7450-8449-BB45-0A484763F1DC}">
  <dimension ref="A1:AG41"/>
  <sheetViews>
    <sheetView tabSelected="1" zoomScale="55" zoomScaleNormal="55" workbookViewId="0">
      <selection activeCell="AB11" sqref="AB11"/>
    </sheetView>
  </sheetViews>
  <sheetFormatPr defaultColWidth="8.85546875" defaultRowHeight="15" x14ac:dyDescent="0.25"/>
  <cols>
    <col min="1" max="1" width="3.7109375" bestFit="1" customWidth="1"/>
    <col min="2" max="2" width="3.28515625" bestFit="1" customWidth="1"/>
    <col min="3" max="3" width="5.42578125" bestFit="1" customWidth="1"/>
    <col min="4" max="5" width="12.140625" bestFit="1" customWidth="1"/>
    <col min="6" max="6" width="12.28515625" customWidth="1"/>
    <col min="7" max="7" width="4.140625" customWidth="1"/>
    <col min="8" max="10" width="12.28515625" customWidth="1"/>
    <col min="11" max="11" width="3.140625" bestFit="1" customWidth="1"/>
    <col min="12" max="15" width="12.28515625" customWidth="1"/>
    <col min="16" max="16" width="8.28515625" customWidth="1"/>
    <col min="17" max="19" width="12.28515625" customWidth="1"/>
    <col min="20" max="20" width="8.28515625" customWidth="1"/>
    <col min="21" max="23" width="12.28515625" customWidth="1"/>
    <col min="24" max="25" width="8.28515625" customWidth="1"/>
    <col min="33" max="33" width="8.85546875" customWidth="1"/>
  </cols>
  <sheetData>
    <row r="1" spans="1:33" x14ac:dyDescent="0.25">
      <c r="F1">
        <v>1</v>
      </c>
      <c r="J1">
        <v>1</v>
      </c>
      <c r="O1">
        <v>1</v>
      </c>
      <c r="S1">
        <v>1</v>
      </c>
      <c r="W1">
        <v>1</v>
      </c>
      <c r="Z1" s="61"/>
      <c r="AA1" s="81" t="s">
        <v>115</v>
      </c>
      <c r="AB1" s="62"/>
    </row>
    <row r="2" spans="1:33" x14ac:dyDescent="0.25">
      <c r="Z2" s="54"/>
      <c r="AA2" s="54"/>
      <c r="AB2" s="55"/>
    </row>
    <row r="3" spans="1:33" x14ac:dyDescent="0.25">
      <c r="E3" s="5" t="s">
        <v>43</v>
      </c>
      <c r="F3" s="6">
        <v>1</v>
      </c>
      <c r="I3" s="5" t="s">
        <v>44</v>
      </c>
      <c r="J3" s="6">
        <v>9</v>
      </c>
      <c r="N3" s="5" t="s">
        <v>135</v>
      </c>
      <c r="O3" s="6">
        <v>7</v>
      </c>
      <c r="R3" s="5" t="s">
        <v>136</v>
      </c>
      <c r="S3" s="6">
        <v>17</v>
      </c>
      <c r="V3" s="5" t="s">
        <v>137</v>
      </c>
      <c r="W3" s="6">
        <v>10</v>
      </c>
      <c r="Z3" s="54"/>
      <c r="AA3" s="54"/>
      <c r="AB3" s="82" t="s">
        <v>117</v>
      </c>
    </row>
    <row r="4" spans="1:33" x14ac:dyDescent="0.25">
      <c r="Z4" s="54"/>
      <c r="AA4" s="54" t="s">
        <v>148</v>
      </c>
      <c r="AB4" s="83">
        <f ca="1">CORREL(OFFSET($D$8,$F$3,0):$D$31,OFFSET($F$8,$F$3,0):$F$31)^2</f>
        <v>0.97604219909176826</v>
      </c>
    </row>
    <row r="5" spans="1:33" x14ac:dyDescent="0.25">
      <c r="C5" s="2"/>
      <c r="D5" s="2" t="s">
        <v>31</v>
      </c>
      <c r="E5" s="2" t="s">
        <v>33</v>
      </c>
      <c r="F5" s="2" t="s">
        <v>35</v>
      </c>
      <c r="G5" s="11"/>
      <c r="H5" s="2" t="s">
        <v>32</v>
      </c>
      <c r="I5" s="2" t="s">
        <v>34</v>
      </c>
      <c r="J5" s="2" t="s">
        <v>36</v>
      </c>
      <c r="K5" s="11"/>
      <c r="L5" s="2" t="s">
        <v>48</v>
      </c>
      <c r="M5" s="2" t="s">
        <v>142</v>
      </c>
      <c r="N5" s="2" t="s">
        <v>138</v>
      </c>
      <c r="O5" s="2" t="s">
        <v>139</v>
      </c>
      <c r="P5" s="11"/>
      <c r="Q5" s="2" t="s">
        <v>49</v>
      </c>
      <c r="R5" s="2" t="s">
        <v>142</v>
      </c>
      <c r="S5" s="2" t="s">
        <v>141</v>
      </c>
      <c r="T5" s="11"/>
      <c r="U5" s="2" t="s">
        <v>50</v>
      </c>
      <c r="V5" s="2" t="s">
        <v>140</v>
      </c>
      <c r="W5" s="2" t="s">
        <v>143</v>
      </c>
      <c r="X5" s="11"/>
      <c r="Y5" s="11"/>
      <c r="Z5" s="54"/>
      <c r="AA5" s="54" t="s">
        <v>149</v>
      </c>
      <c r="AB5" s="84">
        <f ca="1">CORREL(OFFSET($H$8,$J$3,0):$H$31,OFFSET($J$8,$J$3,0):$J$31)^2</f>
        <v>0.8429533001784939</v>
      </c>
    </row>
    <row r="6" spans="1:33" ht="15.75" thickBot="1" x14ac:dyDescent="0.3">
      <c r="B6" s="2" t="s">
        <v>0</v>
      </c>
      <c r="D6" s="2" t="s">
        <v>37</v>
      </c>
      <c r="E6" s="2" t="s">
        <v>38</v>
      </c>
      <c r="F6" s="2" t="s">
        <v>39</v>
      </c>
      <c r="G6" s="11"/>
      <c r="H6" s="2" t="s">
        <v>40</v>
      </c>
      <c r="I6" s="2" t="s">
        <v>41</v>
      </c>
      <c r="J6" s="2" t="s">
        <v>42</v>
      </c>
      <c r="K6" s="11"/>
      <c r="L6" s="2" t="s">
        <v>40</v>
      </c>
      <c r="M6" s="2" t="s">
        <v>41</v>
      </c>
      <c r="N6" s="2" t="s">
        <v>41</v>
      </c>
      <c r="O6" s="2" t="s">
        <v>42</v>
      </c>
      <c r="P6" s="11"/>
      <c r="Q6" s="2" t="s">
        <v>40</v>
      </c>
      <c r="R6" s="2" t="s">
        <v>41</v>
      </c>
      <c r="S6" s="2" t="s">
        <v>42</v>
      </c>
      <c r="T6" s="11"/>
      <c r="U6" s="2" t="s">
        <v>40</v>
      </c>
      <c r="V6" s="2" t="s">
        <v>41</v>
      </c>
      <c r="W6" s="2" t="s">
        <v>42</v>
      </c>
      <c r="X6" s="11"/>
      <c r="Y6" s="11"/>
      <c r="Z6" s="64"/>
      <c r="AA6" s="54" t="s">
        <v>150</v>
      </c>
      <c r="AB6" s="84">
        <f ca="1">CORREL(OFFSET($L$8,$O$3,0):$L$31,OFFSET($O$8,$O$3,0):$O$31)^2</f>
        <v>0.96272623638106036</v>
      </c>
    </row>
    <row r="7" spans="1:33" ht="30" x14ac:dyDescent="0.25">
      <c r="B7" s="8" t="s">
        <v>16</v>
      </c>
      <c r="C7" s="8" t="s">
        <v>10</v>
      </c>
      <c r="D7" s="9" t="str">
        <f>AR!D7</f>
        <v>ВВП</v>
      </c>
      <c r="E7" s="8" t="str">
        <f>H7 &amp; " t+" &amp; F3</f>
        <v>ОФ t+1</v>
      </c>
      <c r="F7" s="8" t="str">
        <f>D7&amp;"( "&amp;E7&amp;")"</f>
        <v>ВВП( ОФ t+1)</v>
      </c>
      <c r="G7" s="12"/>
      <c r="H7" s="9" t="s">
        <v>131</v>
      </c>
      <c r="I7" s="8" t="str">
        <f>D7 &amp; " t+" &amp; J3</f>
        <v>ВВП t+9</v>
      </c>
      <c r="J7" s="8" t="str">
        <f>H7&amp;"( "&amp;I7&amp;")"</f>
        <v>ОФ( ВВП t+9)</v>
      </c>
      <c r="K7" s="12"/>
      <c r="L7" s="9" t="s">
        <v>144</v>
      </c>
      <c r="M7" s="8" t="s">
        <v>147</v>
      </c>
      <c r="N7" s="8" t="str">
        <f>H7 &amp; " t+" &amp; O3</f>
        <v>ОФ t+7</v>
      </c>
      <c r="O7" s="8" t="str">
        <f>L7&amp;"( "&amp;N7&amp;")"</f>
        <v>ЗП( ОФ t+7)</v>
      </c>
      <c r="P7" s="12"/>
      <c r="Q7" s="9" t="s">
        <v>145</v>
      </c>
      <c r="R7" s="8" t="str">
        <f>U7 &amp; " t+" &amp; S3</f>
        <v>ВДС t+17</v>
      </c>
      <c r="S7" s="8" t="str">
        <f>Q7&amp;"( "&amp;R7&amp;")"</f>
        <v>ССЧ( ВДС t+17)</v>
      </c>
      <c r="T7" s="12"/>
      <c r="U7" s="9" t="s">
        <v>146</v>
      </c>
      <c r="V7" s="8" t="str">
        <f>Q7 &amp; " t+" &amp; W3</f>
        <v>ССЧ t+10</v>
      </c>
      <c r="W7" s="8" t="str">
        <f>U7&amp;"( "&amp;V7&amp;")"</f>
        <v>ВДС( ССЧ t+10)</v>
      </c>
      <c r="X7" s="12"/>
      <c r="Y7" s="12"/>
      <c r="AA7" s="54" t="s">
        <v>151</v>
      </c>
      <c r="AB7" s="84">
        <f ca="1">CORREL(OFFSET($Q$8,$S$3,0):$Q$31,OFFSET($S$8,$S$3,0):$S$31)^2</f>
        <v>0.8462368857574295</v>
      </c>
    </row>
    <row r="8" spans="1:33" ht="15" customHeight="1" x14ac:dyDescent="0.25">
      <c r="A8" s="74" t="s">
        <v>20</v>
      </c>
      <c r="B8" s="1">
        <v>1</v>
      </c>
      <c r="C8" s="46">
        <v>2002</v>
      </c>
      <c r="D8" s="9">
        <f>AR!D8</f>
        <v>1523670.1312683504</v>
      </c>
      <c r="E8" s="9" t="str">
        <f ca="1">IF($B8&gt;$F$3,  OFFSET(H8, - $F$3, 0), "")</f>
        <v/>
      </c>
      <c r="F8" s="9" t="str">
        <f ca="1">IF($B8&gt;$F$3, TREND(OFFSET($D$8,$F$3,0):$D$31,OFFSET($E$8,$F$3,0):$E$31,E8,$F$1),"")</f>
        <v/>
      </c>
      <c r="G8" s="13"/>
      <c r="H8" s="10">
        <v>663998.76369988162</v>
      </c>
      <c r="I8" s="9" t="str">
        <f ca="1">IF($B8&gt;$J$3,  OFFSET(L8, - $J$3, 0), "")</f>
        <v/>
      </c>
      <c r="J8" s="9" t="str">
        <f ca="1">IF($B8&gt;$J$3, TREND(OFFSET($H$8,$J$3,0):$H$31,OFFSET($I$8,$J$3,0):$I$31,I8),"")</f>
        <v/>
      </c>
      <c r="K8" s="13"/>
      <c r="L8" s="10">
        <v>7124.9668564346994</v>
      </c>
      <c r="M8" s="9" t="str">
        <f ca="1">IF($B8&gt;$O$3,  OFFSET(Q8, - $O$3, 0), "")</f>
        <v/>
      </c>
      <c r="N8" s="9" t="str">
        <f ca="1">IF($B8&gt;$O$3,  OFFSET(H8, - $O$3, 0), "")</f>
        <v/>
      </c>
      <c r="O8" s="9" t="str">
        <f ca="1">IF($B8&gt;$O$3, TREND(OFFSET($L$8,$O$3,0):$L$31,(OFFSET($M$8,$O$3,0):$N$31),M8:N8,$O$1),"")</f>
        <v/>
      </c>
      <c r="P8" s="13"/>
      <c r="Q8" s="10">
        <v>3013.1797778016089</v>
      </c>
      <c r="R8" s="9" t="str">
        <f ca="1">IF($B8&gt;$S$3,  OFFSET(U8, - $S$3, 0), "")</f>
        <v/>
      </c>
      <c r="S8" s="9" t="str">
        <f ca="1">IF($B8&gt;$S$3, TREND(OFFSET($Q$8,$S$3,0):$Q$31,OFFSET($R$8,$S$3,0):$R$31,R8,$S$1),"")</f>
        <v/>
      </c>
      <c r="T8" s="13"/>
      <c r="U8" s="10">
        <v>854871.14703622425</v>
      </c>
      <c r="V8" s="9" t="str">
        <f ca="1">IF($B8&gt;$W$3,  OFFSET(D8, - $W$3, 0), "")</f>
        <v/>
      </c>
      <c r="W8" s="9" t="str">
        <f ca="1">IF($B8&gt;$W$3, TREND(OFFSET($U$8,$W$3,0):$U$31,OFFSET($V$8,$W$3,0):$V$31,V8),"")</f>
        <v/>
      </c>
      <c r="X8" s="13"/>
      <c r="Y8" s="13"/>
      <c r="Z8" s="49"/>
      <c r="AA8" s="54" t="s">
        <v>152</v>
      </c>
      <c r="AB8" s="84">
        <f ca="1">CORREL(OFFSET($U$8,$W$3,0):$U$31,OFFSET($W$8,$W$3,0):$W$31)^2</f>
        <v>0.88498166335653816</v>
      </c>
    </row>
    <row r="9" spans="1:33" x14ac:dyDescent="0.25">
      <c r="A9" s="75"/>
      <c r="B9" s="1">
        <v>2</v>
      </c>
      <c r="C9" s="1">
        <v>2003</v>
      </c>
      <c r="D9" s="9">
        <f>AR!D9</f>
        <v>1899714.2822209885</v>
      </c>
      <c r="E9" s="9">
        <f t="shared" ref="E9:E41" ca="1" si="0">IF($B9&gt;$F$3,  OFFSET(H9, - $F$3, 0), "")</f>
        <v>663998.76369988162</v>
      </c>
      <c r="F9" s="9">
        <f ca="1">IF($B9&gt;$F$3, TREND(OFFSET($D$8,$F$3,0):$D$31,OFFSET($E$8,$F$3,0):$E$31,E9,$F$1),"")</f>
        <v>2162803.2385817878</v>
      </c>
      <c r="G9" s="13"/>
      <c r="H9" s="10">
        <v>884858.70150511106</v>
      </c>
      <c r="I9" s="9" t="str">
        <f t="shared" ref="I9:I41" ca="1" si="1">IF($B9&gt;$J$3,  OFFSET(L9, - $J$3, 0), "")</f>
        <v/>
      </c>
      <c r="J9" s="9" t="str">
        <f ca="1">IF($B9&gt;$J$3, TREND(OFFSET($H$8,$J$3,0):$H$31,OFFSET($I$8,$J$3,0):$I$31,I9),"")</f>
        <v/>
      </c>
      <c r="K9" s="13"/>
      <c r="L9" s="10">
        <v>9472.4628590143511</v>
      </c>
      <c r="M9" s="9" t="str">
        <f t="shared" ref="M9:M41" ca="1" si="2">IF($B9&gt;$O$3,  OFFSET(Q9, - $O$3, 0), "")</f>
        <v/>
      </c>
      <c r="N9" s="9" t="str">
        <f t="shared" ref="N9:N41" ca="1" si="3">IF($B9&gt;$O$3,  OFFSET(H9, - $O$3, 0), "")</f>
        <v/>
      </c>
      <c r="O9" s="9" t="str">
        <f ca="1">IF($B9&gt;$O$3, TREND(OFFSET($L$8,$O$3,0):$L$31,(OFFSET($M$8,$O$3,0):$N$31),M9:N9,$O$1),"")</f>
        <v/>
      </c>
      <c r="P9" s="13"/>
      <c r="Q9" s="10">
        <v>3063.7503642895449</v>
      </c>
      <c r="R9" s="9" t="str">
        <f t="shared" ref="R9:R41" ca="1" si="4">IF($B9&gt;$S$3,  OFFSET(U9, - $S$3, 0), "")</f>
        <v/>
      </c>
      <c r="S9" s="9" t="str">
        <f ca="1">IF($B9&gt;$S$3, TREND(OFFSET($Q$8,$S$3,0):$Q$31,OFFSET($R$8,$S$3,0):$R$31,R9,$S$1),"")</f>
        <v/>
      </c>
      <c r="T9" s="13"/>
      <c r="U9" s="10">
        <v>1139219.2493035407</v>
      </c>
      <c r="V9" s="9" t="str">
        <f t="shared" ref="V9:V41" ca="1" si="5">IF($B9&gt;$W$3,  OFFSET(D9, - $W$3, 0), "")</f>
        <v/>
      </c>
      <c r="W9" s="9" t="str">
        <f ca="1">IF($B9&gt;$W$3, TREND(OFFSET($U$8,$W$3,0):$U$31,OFFSET($V$8,$W$3,0):$V$31,V9),"")</f>
        <v/>
      </c>
      <c r="X9" s="13"/>
      <c r="Y9" s="13"/>
    </row>
    <row r="10" spans="1:33" ht="15.75" thickBot="1" x14ac:dyDescent="0.3">
      <c r="A10" s="75"/>
      <c r="B10" s="1">
        <v>3</v>
      </c>
      <c r="C10" s="1">
        <v>2004</v>
      </c>
      <c r="D10" s="9">
        <f>AR!D10</f>
        <v>2271976.8034374709</v>
      </c>
      <c r="E10" s="9">
        <f t="shared" ca="1" si="0"/>
        <v>884858.70150511106</v>
      </c>
      <c r="F10" s="9">
        <f ca="1">IF($B10&gt;$F$3, TREND(OFFSET($D$8,$F$3,0):$D$31,OFFSET($E$8,$F$3,0):$E$31,E10,$F$1),"")</f>
        <v>2506353.3194957832</v>
      </c>
      <c r="G10" s="13"/>
      <c r="H10" s="10">
        <v>1090317.1051120984</v>
      </c>
      <c r="I10" s="9" t="str">
        <f t="shared" ca="1" si="1"/>
        <v/>
      </c>
      <c r="J10" s="9" t="str">
        <f ca="1">IF($B10&gt;$J$3, TREND(OFFSET($H$8,$J$3,0):$H$31,OFFSET($I$8,$J$3,0):$I$31,I10),"")</f>
        <v/>
      </c>
      <c r="K10" s="13"/>
      <c r="L10" s="10">
        <v>10821.718177877687</v>
      </c>
      <c r="M10" s="9" t="str">
        <f t="shared" ca="1" si="2"/>
        <v/>
      </c>
      <c r="N10" s="9" t="str">
        <f t="shared" ca="1" si="3"/>
        <v/>
      </c>
      <c r="O10" s="9" t="str">
        <f ca="1">IF($B10&gt;$O$3, TREND(OFFSET($L$8,$O$3,0):$L$31,(OFFSET($M$8,$O$3,0):$N$31),M10:N10,$O$1),"")</f>
        <v/>
      </c>
      <c r="P10" s="13"/>
      <c r="Q10" s="10">
        <v>3114.3209507774804</v>
      </c>
      <c r="R10" s="9" t="str">
        <f t="shared" ca="1" si="4"/>
        <v/>
      </c>
      <c r="S10" s="9" t="str">
        <f ca="1">IF($B10&gt;$S$3, TREND(OFFSET($Q$8,$S$3,0):$Q$31,OFFSET($R$8,$S$3,0):$R$31,R10,$S$1),"")</f>
        <v/>
      </c>
      <c r="T10" s="13"/>
      <c r="U10" s="10">
        <v>1403738.508618192</v>
      </c>
      <c r="V10" s="9" t="str">
        <f t="shared" ca="1" si="5"/>
        <v/>
      </c>
      <c r="W10" s="9" t="str">
        <f ca="1">IF($B10&gt;$W$3, TREND(OFFSET($U$8,$W$3,0):$U$31,OFFSET($V$8,$W$3,0):$V$31,V10),"")</f>
        <v/>
      </c>
      <c r="X10" s="13"/>
      <c r="Y10" s="13"/>
      <c r="AA10" s="64" t="s">
        <v>153</v>
      </c>
      <c r="AB10" s="85">
        <f ca="1">AVERAGE(AB4:AB8)</f>
        <v>0.90258805695305799</v>
      </c>
      <c r="AC10" s="80"/>
      <c r="AD10" s="80"/>
      <c r="AE10" s="80"/>
      <c r="AF10" s="80"/>
      <c r="AG10" s="80"/>
    </row>
    <row r="11" spans="1:33" x14ac:dyDescent="0.25">
      <c r="A11" s="75"/>
      <c r="B11" s="1">
        <v>4</v>
      </c>
      <c r="C11" s="1">
        <v>2005</v>
      </c>
      <c r="D11" s="9">
        <f>AR!D11</f>
        <v>2745199.6299384595</v>
      </c>
      <c r="E11" s="9">
        <f t="shared" ca="1" si="0"/>
        <v>1090317.1051120984</v>
      </c>
      <c r="F11" s="9">
        <f ca="1">IF($B11&gt;$F$3, TREND(OFFSET($D$8,$F$3,0):$D$31,OFFSET($E$8,$F$3,0):$E$31,E11,$F$1),"")</f>
        <v>2825946.1432784656</v>
      </c>
      <c r="G11" s="13"/>
      <c r="H11" s="10">
        <v>1303045.6589160857</v>
      </c>
      <c r="I11" s="9" t="str">
        <f t="shared" ca="1" si="1"/>
        <v/>
      </c>
      <c r="J11" s="9" t="str">
        <f ca="1">IF($B11&gt;$J$3, TREND(OFFSET($H$8,$J$3,0):$H$31,OFFSET($I$8,$J$3,0):$I$31,I11),"")</f>
        <v/>
      </c>
      <c r="K11" s="13"/>
      <c r="L11" s="10">
        <v>15014.027631766721</v>
      </c>
      <c r="M11" s="9" t="str">
        <f t="shared" ca="1" si="2"/>
        <v/>
      </c>
      <c r="N11" s="9" t="str">
        <f t="shared" ca="1" si="3"/>
        <v/>
      </c>
      <c r="O11" s="9" t="str">
        <f ca="1">IF($B11&gt;$O$3, TREND(OFFSET($L$8,$O$3,0):$L$31,(OFFSET($M$8,$O$3,0):$N$31),M11:N11,$O$1),"")</f>
        <v/>
      </c>
      <c r="P11" s="13"/>
      <c r="Q11" s="10">
        <v>3164.8915372654155</v>
      </c>
      <c r="R11" s="9" t="str">
        <f t="shared" ca="1" si="4"/>
        <v/>
      </c>
      <c r="S11" s="9" t="str">
        <f ca="1">IF($B11&gt;$S$3, TREND(OFFSET($Q$8,$S$3,0):$Q$31,OFFSET($R$8,$S$3,0):$R$31,R11,$S$1),"")</f>
        <v/>
      </c>
      <c r="T11" s="13"/>
      <c r="U11" s="10">
        <v>1677617.7878271635</v>
      </c>
      <c r="V11" s="9" t="str">
        <f t="shared" ca="1" si="5"/>
        <v/>
      </c>
      <c r="W11" s="9" t="str">
        <f ca="1">IF($B11&gt;$W$3, TREND(OFFSET($U$8,$W$3,0):$U$31,OFFSET($V$8,$W$3,0):$V$31,V11),"")</f>
        <v/>
      </c>
      <c r="X11" s="13"/>
      <c r="Y11" s="13"/>
      <c r="Z11" s="66"/>
    </row>
    <row r="12" spans="1:33" x14ac:dyDescent="0.25">
      <c r="A12" s="75"/>
      <c r="B12" s="1">
        <v>5</v>
      </c>
      <c r="C12" s="1">
        <v>2006</v>
      </c>
      <c r="D12" s="9">
        <f>AR!D12</f>
        <v>3476075.5445336094</v>
      </c>
      <c r="E12" s="9">
        <f t="shared" ca="1" si="0"/>
        <v>1303045.6589160857</v>
      </c>
      <c r="F12" s="9">
        <f ca="1">IF($B12&gt;$F$3, TREND(OFFSET($D$8,$F$3,0):$D$31,OFFSET($E$8,$F$3,0):$E$31,E12,$F$1),"")</f>
        <v>3156847.7662632875</v>
      </c>
      <c r="G12" s="13"/>
      <c r="H12" s="10">
        <v>1615629.3744707303</v>
      </c>
      <c r="I12" s="9" t="str">
        <f t="shared" ca="1" si="1"/>
        <v/>
      </c>
      <c r="J12" s="9" t="str">
        <f ca="1">IF($B12&gt;$J$3, TREND(OFFSET($H$8,$J$3,0):$H$31,OFFSET($I$8,$J$3,0):$I$31,I12),"")</f>
        <v/>
      </c>
      <c r="K12" s="77" t="s">
        <v>134</v>
      </c>
      <c r="L12" s="10">
        <v>18464.986503774206</v>
      </c>
      <c r="M12" s="9" t="str">
        <f t="shared" ca="1" si="2"/>
        <v/>
      </c>
      <c r="N12" s="9" t="str">
        <f t="shared" ca="1" si="3"/>
        <v/>
      </c>
      <c r="O12" s="9" t="str">
        <f ca="1">IF($B12&gt;$O$3, TREND(OFFSET($L$8,$O$3,0):$L$31,(OFFSET($M$8,$O$3,0):$N$31),M12:N12,$O$1),"")</f>
        <v/>
      </c>
      <c r="P12" s="67"/>
      <c r="Q12" s="10">
        <v>3262.6488048257374</v>
      </c>
      <c r="R12" s="9" t="str">
        <f t="shared" ca="1" si="4"/>
        <v/>
      </c>
      <c r="S12" s="9" t="str">
        <f ca="1">IF($B12&gt;$S$3, TREND(OFFSET($Q$8,$S$3,0):$Q$31,OFFSET($R$8,$S$3,0):$R$31,R12,$S$1),"")</f>
        <v/>
      </c>
      <c r="T12" s="67"/>
      <c r="U12" s="10">
        <v>2080056.4881224297</v>
      </c>
      <c r="V12" s="9" t="str">
        <f t="shared" ca="1" si="5"/>
        <v/>
      </c>
      <c r="W12" s="9" t="str">
        <f ca="1">IF($B12&gt;$W$3, TREND(OFFSET($U$8,$W$3,0):$U$31,OFFSET($V$8,$W$3,0):$V$31,V12),"")</f>
        <v/>
      </c>
      <c r="X12" s="67"/>
      <c r="Y12" s="67"/>
    </row>
    <row r="13" spans="1:33" x14ac:dyDescent="0.25">
      <c r="A13" s="75"/>
      <c r="B13" s="1">
        <v>6</v>
      </c>
      <c r="C13" s="1">
        <v>2007</v>
      </c>
      <c r="D13" s="9">
        <f>AR!D13</f>
        <v>4183589.0473623835</v>
      </c>
      <c r="E13" s="9">
        <f t="shared" ca="1" si="0"/>
        <v>1615629.3744707303</v>
      </c>
      <c r="F13" s="9">
        <f ca="1">IF($B13&gt;$F$3, TREND(OFFSET($D$8,$F$3,0):$D$31,OFFSET($E$8,$F$3,0):$E$31,E13,$F$1),"")</f>
        <v>3643075.1999860043</v>
      </c>
      <c r="G13" s="13"/>
      <c r="H13" s="10">
        <v>1992232.5563758044</v>
      </c>
      <c r="I13" s="9" t="str">
        <f t="shared" ca="1" si="1"/>
        <v/>
      </c>
      <c r="J13" s="9" t="str">
        <f ca="1">IF($B13&gt;$J$3, TREND(OFFSET($H$8,$J$3,0):$H$31,OFFSET($I$8,$J$3,0):$I$31,I13),"")</f>
        <v/>
      </c>
      <c r="K13" s="77"/>
      <c r="L13" s="10">
        <v>23149.291880697179</v>
      </c>
      <c r="M13" s="9" t="str">
        <f t="shared" ca="1" si="2"/>
        <v/>
      </c>
      <c r="N13" s="9" t="str">
        <f t="shared" ca="1" si="3"/>
        <v/>
      </c>
      <c r="O13" s="9" t="str">
        <f ca="1">IF($B13&gt;$O$3, TREND(OFFSET($L$8,$O$3,0):$L$31,(OFFSET($M$8,$O$3,0):$N$31),M13:N13,$O$1),"")</f>
        <v/>
      </c>
      <c r="P13" s="67"/>
      <c r="Q13" s="10">
        <v>3415.8645222520108</v>
      </c>
      <c r="R13" s="9" t="str">
        <f t="shared" ca="1" si="4"/>
        <v/>
      </c>
      <c r="S13" s="9" t="str">
        <f ca="1">IF($B13&gt;$S$3, TREND(OFFSET($Q$8,$S$3,0):$Q$31,OFFSET($R$8,$S$3,0):$R$31,R13,$S$1),"")</f>
        <v/>
      </c>
      <c r="T13" s="67"/>
      <c r="U13" s="10">
        <v>2564917.6229515877</v>
      </c>
      <c r="V13" s="9" t="str">
        <f t="shared" ca="1" si="5"/>
        <v/>
      </c>
      <c r="W13" s="9" t="str">
        <f ca="1">IF($B13&gt;$W$3, TREND(OFFSET($U$8,$W$3,0):$U$31,OFFSET($V$8,$W$3,0):$V$31,V13),"")</f>
        <v/>
      </c>
      <c r="X13" s="67"/>
      <c r="Y13" s="67"/>
    </row>
    <row r="14" spans="1:33" x14ac:dyDescent="0.25">
      <c r="A14" s="75"/>
      <c r="B14" s="1">
        <v>7</v>
      </c>
      <c r="C14" s="1">
        <v>2008</v>
      </c>
      <c r="D14" s="9">
        <f>AR!D14</f>
        <v>5380452.4239379605</v>
      </c>
      <c r="E14" s="9">
        <f t="shared" ca="1" si="0"/>
        <v>1992232.5563758044</v>
      </c>
      <c r="F14" s="9">
        <f ca="1">IF($B14&gt;$F$3, TREND(OFFSET($D$8,$F$3,0):$D$31,OFFSET($E$8,$F$3,0):$E$31,E14,$F$1),"")</f>
        <v>4228885.6231060866</v>
      </c>
      <c r="G14" s="13"/>
      <c r="H14" s="10">
        <v>2560198.7919133157</v>
      </c>
      <c r="I14" s="9" t="str">
        <f t="shared" ca="1" si="1"/>
        <v/>
      </c>
      <c r="J14" s="9" t="str">
        <f ca="1">IF($B14&gt;$J$3, TREND(OFFSET($H$8,$J$3,0):$H$31,OFFSET($I$8,$J$3,0):$I$31,I14),"")</f>
        <v/>
      </c>
      <c r="K14" s="77"/>
      <c r="L14" s="10">
        <v>29243.136120380714</v>
      </c>
      <c r="M14" s="9" t="str">
        <f t="shared" ca="1" si="2"/>
        <v/>
      </c>
      <c r="N14" s="9" t="str">
        <f t="shared" ca="1" si="3"/>
        <v/>
      </c>
      <c r="O14" s="9" t="str">
        <f ca="1">IF($B14&gt;$O$3, TREND(OFFSET($L$8,$O$3,0):$L$31,(OFFSET($M$8,$O$3,0):$N$31),M14:N14,$O$1),"")</f>
        <v/>
      </c>
      <c r="P14" s="67"/>
      <c r="Q14" s="10">
        <v>3564.3803710455763</v>
      </c>
      <c r="R14" s="9" t="str">
        <f t="shared" ca="1" si="4"/>
        <v/>
      </c>
      <c r="S14" s="9" t="str">
        <f ca="1">IF($B14&gt;$S$3, TREND(OFFSET($Q$8,$S$3,0):$Q$31,OFFSET($R$8,$S$3,0):$R$31,R14,$S$1),"")</f>
        <v/>
      </c>
      <c r="T14" s="67"/>
      <c r="U14" s="10">
        <v>3296150.8327038502</v>
      </c>
      <c r="V14" s="9" t="str">
        <f t="shared" ca="1" si="5"/>
        <v/>
      </c>
      <c r="W14" s="9" t="str">
        <f ca="1">IF($B14&gt;$W$3, TREND(OFFSET($U$8,$W$3,0):$U$31,OFFSET($V$8,$W$3,0):$V$31,V14),"")</f>
        <v/>
      </c>
      <c r="X14" s="67"/>
      <c r="Y14" s="67"/>
    </row>
    <row r="15" spans="1:33" x14ac:dyDescent="0.25">
      <c r="A15" s="75"/>
      <c r="B15" s="1">
        <v>8</v>
      </c>
      <c r="C15" s="1">
        <v>2009</v>
      </c>
      <c r="D15" s="9">
        <f>AR!D15</f>
        <v>5857652.2365358304</v>
      </c>
      <c r="E15" s="9">
        <f t="shared" ca="1" si="0"/>
        <v>2560198.7919133157</v>
      </c>
      <c r="F15" s="9">
        <f ca="1">IF($B15&gt;$F$3, TREND(OFFSET($D$8,$F$3,0):$D$31,OFFSET($E$8,$F$3,0):$E$31,E15,$F$1),"")</f>
        <v>5112363.3969131447</v>
      </c>
      <c r="G15" s="13"/>
      <c r="H15" s="10">
        <v>2993345.5938084461</v>
      </c>
      <c r="I15" s="9" t="str">
        <f t="shared" ca="1" si="1"/>
        <v/>
      </c>
      <c r="J15" s="9" t="str">
        <f ca="1">IF($B15&gt;$J$3, TREND(OFFSET($H$8,$J$3,0):$H$31,OFFSET($I$8,$J$3,0):$I$31,I15),"")</f>
        <v/>
      </c>
      <c r="K15" s="77"/>
      <c r="L15" s="10">
        <v>32827.12981312503</v>
      </c>
      <c r="M15" s="9">
        <f t="shared" ca="1" si="2"/>
        <v>3013.1797778016089</v>
      </c>
      <c r="N15" s="9">
        <f t="shared" ca="1" si="3"/>
        <v>663998.76369988162</v>
      </c>
      <c r="O15" s="9">
        <f ca="1">IF($B15&gt;$O$3, TREND(OFFSET($L$8,$O$3,0):$L$31,(OFFSET($M$8,$O$3,0):$N$31),M15:N15,$O$1),"")</f>
        <v>32243.793085069956</v>
      </c>
      <c r="P15" s="67"/>
      <c r="Q15" s="10">
        <v>3721.2849999999999</v>
      </c>
      <c r="R15" s="9" t="str">
        <f t="shared" ca="1" si="4"/>
        <v/>
      </c>
      <c r="S15" s="9" t="str">
        <f ca="1">IF($B15&gt;$S$3, TREND(OFFSET($Q$8,$S$3,0):$Q$31,OFFSET($R$8,$S$3,0):$R$31,R15,$S$1),"")</f>
        <v/>
      </c>
      <c r="T15" s="67"/>
      <c r="U15" s="10">
        <v>3853809.5568073275</v>
      </c>
      <c r="V15" s="9" t="str">
        <f t="shared" ca="1" si="5"/>
        <v/>
      </c>
      <c r="W15" s="9" t="str">
        <f ca="1">IF($B15&gt;$W$3, TREND(OFFSET($U$8,$W$3,0):$U$31,OFFSET($V$8,$W$3,0):$V$31,V15),"")</f>
        <v/>
      </c>
      <c r="X15" s="67"/>
      <c r="Y15" s="67"/>
    </row>
    <row r="16" spans="1:33" x14ac:dyDescent="0.25">
      <c r="A16" s="75"/>
      <c r="B16" s="1">
        <v>9</v>
      </c>
      <c r="C16" s="1">
        <v>2010</v>
      </c>
      <c r="D16" s="9">
        <f>AR!D16</f>
        <v>6511019.5831007604</v>
      </c>
      <c r="E16" s="9">
        <f t="shared" ca="1" si="0"/>
        <v>2993345.5938084461</v>
      </c>
      <c r="F16" s="9">
        <f ca="1">IF($B16&gt;$F$3, TREND(OFFSET($D$8,$F$3,0):$D$31,OFFSET($E$8,$F$3,0):$E$31,E16,$F$1),"")</f>
        <v>5786128.0475667194</v>
      </c>
      <c r="G16" s="13"/>
      <c r="H16" s="10">
        <v>3292699.1332117636</v>
      </c>
      <c r="I16" s="9" t="str">
        <f t="shared" ca="1" si="1"/>
        <v/>
      </c>
      <c r="J16" s="9" t="str">
        <f ca="1">IF($B16&gt;$J$3, TREND(OFFSET($H$8,$J$3,0):$H$31,OFFSET($I$8,$J$3,0):$I$31,I16),"")</f>
        <v/>
      </c>
      <c r="K16" s="77"/>
      <c r="L16" s="10">
        <v>34417.519307577262</v>
      </c>
      <c r="M16" s="9">
        <f t="shared" ca="1" si="2"/>
        <v>3063.7503642895449</v>
      </c>
      <c r="N16" s="9">
        <f t="shared" ca="1" si="3"/>
        <v>884858.70150511106</v>
      </c>
      <c r="O16" s="9">
        <f ca="1">IF($B16&gt;$O$3, TREND(OFFSET($L$8,$O$3,0):$L$31,(OFFSET($M$8,$O$3,0):$N$31),M16:N16,$O$1),"")</f>
        <v>35511.612753722096</v>
      </c>
      <c r="P16" s="67"/>
      <c r="Q16" s="10">
        <v>3722.31</v>
      </c>
      <c r="R16" s="9" t="str">
        <f t="shared" ca="1" si="4"/>
        <v/>
      </c>
      <c r="S16" s="9" t="str">
        <f ca="1">IF($B16&gt;$S$3, TREND(OFFSET($Q$8,$S$3,0):$Q$31,OFFSET($R$8,$S$3,0):$R$31,R16,$S$1),"")</f>
        <v/>
      </c>
      <c r="T16" s="67"/>
      <c r="U16" s="10">
        <v>4239214.9484877475</v>
      </c>
      <c r="V16" s="9" t="str">
        <f t="shared" ca="1" si="5"/>
        <v/>
      </c>
      <c r="W16" s="9" t="str">
        <f ca="1">IF($B16&gt;$W$3, TREND(OFFSET($U$8,$W$3,0):$U$31,OFFSET($V$8,$W$3,0):$V$31,V16),"")</f>
        <v/>
      </c>
      <c r="X16" s="67"/>
      <c r="Y16" s="67"/>
    </row>
    <row r="17" spans="1:25" x14ac:dyDescent="0.25">
      <c r="A17" s="75"/>
      <c r="B17" s="1">
        <v>10</v>
      </c>
      <c r="C17" s="1">
        <v>2011</v>
      </c>
      <c r="D17" s="9">
        <f>AR!D17</f>
        <v>7448243.4494492188</v>
      </c>
      <c r="E17" s="9">
        <f t="shared" ca="1" si="0"/>
        <v>3292699.1332117636</v>
      </c>
      <c r="F17" s="9">
        <f ca="1">IF($B17&gt;$F$3, TREND(OFFSET($D$8,$F$3,0):$D$31,OFFSET($E$8,$F$3,0):$E$31,E17,$F$1),"")</f>
        <v>6251775.7956639547</v>
      </c>
      <c r="G17" s="13"/>
      <c r="H17" s="10">
        <v>3631807.6</v>
      </c>
      <c r="I17" s="9">
        <f t="shared" ca="1" si="1"/>
        <v>7124.9668564346994</v>
      </c>
      <c r="J17" s="9">
        <f ca="1">IF($B17&gt;$J$3, TREND(OFFSET($H$8,$J$3,0):$H$31,OFFSET($I$8,$J$3,0):$I$31,I17),"")</f>
        <v>4536275.0093572922</v>
      </c>
      <c r="K17" s="77"/>
      <c r="L17" s="10">
        <v>38027.270514532211</v>
      </c>
      <c r="M17" s="9">
        <f t="shared" ca="1" si="2"/>
        <v>3114.3209507774804</v>
      </c>
      <c r="N17" s="9">
        <f t="shared" ca="1" si="3"/>
        <v>1090317.1051120984</v>
      </c>
      <c r="O17" s="9">
        <f ca="1">IF($B17&gt;$O$3, TREND(OFFSET($L$8,$O$3,0):$L$31,(OFFSET($M$8,$O$3,0):$N$31),M17:N17,$O$1),"")</f>
        <v>38644.432909263844</v>
      </c>
      <c r="P17" s="67"/>
      <c r="Q17" s="10">
        <v>3588.8969999999999</v>
      </c>
      <c r="R17" s="9" t="str">
        <f t="shared" ca="1" si="4"/>
        <v/>
      </c>
      <c r="S17" s="9" t="str">
        <f ca="1">IF($B17&gt;$S$3, TREND(OFFSET($Q$8,$S$3,0):$Q$31,OFFSET($R$8,$S$3,0):$R$31,R17,$S$1),"")</f>
        <v/>
      </c>
      <c r="T17" s="67"/>
      <c r="U17" s="10">
        <v>4675803.1769923167</v>
      </c>
      <c r="V17" s="9" t="str">
        <f t="shared" ca="1" si="5"/>
        <v/>
      </c>
      <c r="W17" s="9" t="str">
        <f ca="1">IF($B17&gt;$W$3, TREND(OFFSET($U$8,$W$3,0):$U$31,OFFSET($V$8,$W$3,0):$V$31,V17),"")</f>
        <v/>
      </c>
      <c r="X17" s="67"/>
      <c r="Y17" s="67"/>
    </row>
    <row r="18" spans="1:25" x14ac:dyDescent="0.25">
      <c r="A18" s="75"/>
      <c r="B18" s="1">
        <v>11</v>
      </c>
      <c r="C18" s="1">
        <v>2012</v>
      </c>
      <c r="D18" s="9">
        <f>AR!D18</f>
        <v>8915955.3337932099</v>
      </c>
      <c r="E18" s="9">
        <f t="shared" ca="1" si="0"/>
        <v>3631807.6</v>
      </c>
      <c r="F18" s="9">
        <f ca="1">IF($B18&gt;$F$3, TREND(OFFSET($D$8,$F$3,0):$D$31,OFFSET($E$8,$F$3,0):$E$31,E18,$F$1),"")</f>
        <v>6779262.7738884017</v>
      </c>
      <c r="G18" s="13"/>
      <c r="H18" s="10">
        <v>6188755.7403909471</v>
      </c>
      <c r="I18" s="9">
        <f t="shared" ca="1" si="1"/>
        <v>9472.4628590143511</v>
      </c>
      <c r="J18" s="9">
        <f ca="1">IF($B18&gt;$J$3, TREND(OFFSET($H$8,$J$3,0):$H$31,OFFSET($I$8,$J$3,0):$I$31,I18),"")</f>
        <v>5073228.9342201594</v>
      </c>
      <c r="K18" s="77"/>
      <c r="L18" s="10">
        <v>48913.793502099419</v>
      </c>
      <c r="M18" s="9">
        <f t="shared" ca="1" si="2"/>
        <v>3164.8915372654155</v>
      </c>
      <c r="N18" s="9">
        <f t="shared" ca="1" si="3"/>
        <v>1303045.6589160857</v>
      </c>
      <c r="O18" s="9">
        <f ca="1">IF($B18&gt;$O$3, TREND(OFFSET($L$8,$O$3,0):$L$31,(OFFSET($M$8,$O$3,0):$N$31),M18:N18,$O$1),"")</f>
        <v>41840.978322575444</v>
      </c>
      <c r="P18" s="67"/>
      <c r="Q18" s="10">
        <v>3517.73</v>
      </c>
      <c r="R18" s="9" t="str">
        <f t="shared" ca="1" si="4"/>
        <v/>
      </c>
      <c r="S18" s="9" t="str">
        <f ca="1">IF($B18&gt;$S$3, TREND(OFFSET($Q$8,$S$3,0):$Q$31,OFFSET($R$8,$S$3,0):$R$31,R18,$S$1),"")</f>
        <v/>
      </c>
      <c r="T18" s="67"/>
      <c r="U18" s="10">
        <v>5864573.2429680433</v>
      </c>
      <c r="V18" s="9">
        <f t="shared" ca="1" si="5"/>
        <v>1523670.1312683504</v>
      </c>
      <c r="W18" s="9">
        <f ca="1">IF($B18&gt;$W$3, TREND(OFFSET($U$8,$W$3,0):$U$31,OFFSET($V$8,$W$3,0):$V$31,V18),"")</f>
        <v>4765469.6730748229</v>
      </c>
      <c r="X18" s="67"/>
      <c r="Y18" s="67"/>
    </row>
    <row r="19" spans="1:25" x14ac:dyDescent="0.25">
      <c r="A19" s="75"/>
      <c r="B19" s="1">
        <v>12</v>
      </c>
      <c r="C19" s="1">
        <v>2013</v>
      </c>
      <c r="D19" s="9">
        <f>AR!D19</f>
        <v>10017461.84195617</v>
      </c>
      <c r="E19" s="9">
        <f t="shared" ca="1" si="0"/>
        <v>6188755.7403909471</v>
      </c>
      <c r="F19" s="9">
        <f ca="1">IF($B19&gt;$F$3, TREND(OFFSET($D$8,$F$3,0):$D$31,OFFSET($E$8,$F$3,0):$E$31,E19,$F$1),"")</f>
        <v>10756623.943386121</v>
      </c>
      <c r="G19" s="13"/>
      <c r="H19" s="10">
        <v>7066670.2263727253</v>
      </c>
      <c r="I19" s="9">
        <f t="shared" ca="1" si="1"/>
        <v>10821.718177877687</v>
      </c>
      <c r="J19" s="9">
        <f ca="1">IF($B19&gt;$J$3, TREND(OFFSET($H$8,$J$3,0):$H$31,OFFSET($I$8,$J$3,0):$I$31,I19),"")</f>
        <v>5381850.5200757384</v>
      </c>
      <c r="K19" s="13"/>
      <c r="L19" s="10">
        <v>55417.97686444701</v>
      </c>
      <c r="M19" s="9">
        <f t="shared" ca="1" si="2"/>
        <v>3262.6488048257374</v>
      </c>
      <c r="N19" s="9">
        <f t="shared" ca="1" si="3"/>
        <v>1615629.3744707303</v>
      </c>
      <c r="O19" s="9">
        <f ca="1">IF($B19&gt;$O$3, TREND(OFFSET($L$8,$O$3,0):$L$31,(OFFSET($M$8,$O$3,0):$N$31),M19:N19,$O$1),"")</f>
        <v>47155.572674557996</v>
      </c>
      <c r="P19" s="13"/>
      <c r="Q19" s="10">
        <v>3511.3829999999998</v>
      </c>
      <c r="R19" s="9" t="str">
        <f t="shared" ca="1" si="4"/>
        <v/>
      </c>
      <c r="S19" s="9" t="str">
        <f ca="1">IF($B19&gt;$S$3, TREND(OFFSET($Q$8,$S$3,0):$Q$31,OFFSET($R$8,$S$3,0):$R$31,R19,$S$1),"")</f>
        <v/>
      </c>
      <c r="T19" s="13"/>
      <c r="U19" s="10">
        <v>6696500.3734088941</v>
      </c>
      <c r="V19" s="9">
        <f t="shared" ca="1" si="5"/>
        <v>1899714.2822209885</v>
      </c>
      <c r="W19" s="9">
        <f ca="1">IF($B19&gt;$W$3, TREND(OFFSET($U$8,$W$3,0):$U$31,OFFSET($V$8,$W$3,0):$V$31,V19),"")</f>
        <v>5350426.5807247534</v>
      </c>
      <c r="X19" s="13"/>
      <c r="Y19" s="13"/>
    </row>
    <row r="20" spans="1:25" x14ac:dyDescent="0.25">
      <c r="A20" s="75"/>
      <c r="B20" s="1">
        <v>13</v>
      </c>
      <c r="C20" s="1">
        <v>2014</v>
      </c>
      <c r="D20" s="9">
        <f>AR!D20</f>
        <v>9925208.0999999996</v>
      </c>
      <c r="E20" s="9">
        <f t="shared" ca="1" si="0"/>
        <v>7066670.2263727253</v>
      </c>
      <c r="F20" s="9">
        <f ca="1">IF($B20&gt;$F$3, TREND(OFFSET($D$8,$F$3,0):$D$31,OFFSET($E$8,$F$3,0):$E$31,E20,$F$1),"")</f>
        <v>12122229.655729428</v>
      </c>
      <c r="G20" s="13"/>
      <c r="H20" s="10">
        <v>7517411.2509606024</v>
      </c>
      <c r="I20" s="9">
        <f t="shared" ca="1" si="1"/>
        <v>15014.027631766721</v>
      </c>
      <c r="J20" s="9">
        <f ca="1">IF($B20&gt;$J$3, TREND(OFFSET($H$8,$J$3,0):$H$31,OFFSET($I$8,$J$3,0):$I$31,I20),"")</f>
        <v>6340777.3991978839</v>
      </c>
      <c r="K20" s="13"/>
      <c r="L20" s="10">
        <v>58446.402896956672</v>
      </c>
      <c r="M20" s="9">
        <f t="shared" ca="1" si="2"/>
        <v>3415.8645222520108</v>
      </c>
      <c r="N20" s="9">
        <f t="shared" ca="1" si="3"/>
        <v>1992232.5563758044</v>
      </c>
      <c r="O20" s="9">
        <f ca="1">IF($B20&gt;$O$3, TREND(OFFSET($L$8,$O$3,0):$L$31,(OFFSET($M$8,$O$3,0):$N$31),M20:N20,$O$1),"")</f>
        <v>54491.963138539148</v>
      </c>
      <c r="P20" s="13"/>
      <c r="Q20" s="10">
        <v>3511.895</v>
      </c>
      <c r="R20" s="9" t="str">
        <f t="shared" ca="1" si="4"/>
        <v/>
      </c>
      <c r="S20" s="9" t="str">
        <f ca="1">IF($B20&gt;$S$3, TREND(OFFSET($Q$8,$S$3,0):$Q$31,OFFSET($R$8,$S$3,0):$R$31,R20,$S$1),"")</f>
        <v/>
      </c>
      <c r="T20" s="13"/>
      <c r="U20" s="10">
        <v>6933386.9000000004</v>
      </c>
      <c r="V20" s="9">
        <f t="shared" ca="1" si="5"/>
        <v>2271976.8034374709</v>
      </c>
      <c r="W20" s="9">
        <f ca="1">IF($B20&gt;$W$3, TREND(OFFSET($U$8,$W$3,0):$U$31,OFFSET($V$8,$W$3,0):$V$31,V20),"")</f>
        <v>5929500.9598717559</v>
      </c>
      <c r="X20" s="13"/>
      <c r="Y20" s="13"/>
    </row>
    <row r="21" spans="1:25" x14ac:dyDescent="0.25">
      <c r="A21" s="75"/>
      <c r="B21" s="1">
        <v>14</v>
      </c>
      <c r="C21" s="1">
        <v>2015</v>
      </c>
      <c r="D21" s="9">
        <f>AR!D21</f>
        <v>10706582.1</v>
      </c>
      <c r="E21" s="9">
        <f t="shared" ca="1" si="0"/>
        <v>7517411.2509606024</v>
      </c>
      <c r="F21" s="9">
        <f ca="1">IF($B21&gt;$F$3, TREND(OFFSET($D$8,$F$3,0):$D$31,OFFSET($E$8,$F$3,0):$E$31,E21,$F$1),"")</f>
        <v>12823362.314767765</v>
      </c>
      <c r="G21" s="13"/>
      <c r="H21" s="10">
        <v>7806214.914021723</v>
      </c>
      <c r="I21" s="9">
        <f t="shared" ca="1" si="1"/>
        <v>18464.986503774206</v>
      </c>
      <c r="J21" s="9">
        <f ca="1">IF($B21&gt;$J$3, TREND(OFFSET($H$8,$J$3,0):$H$31,OFFSET($I$8,$J$3,0):$I$31,I21),"")</f>
        <v>7130131.6340202186</v>
      </c>
      <c r="K21" s="13"/>
      <c r="L21" s="10">
        <v>57428.570061473758</v>
      </c>
      <c r="M21" s="9">
        <f t="shared" ca="1" si="2"/>
        <v>3564.3803710455763</v>
      </c>
      <c r="N21" s="9">
        <f t="shared" ca="1" si="3"/>
        <v>2560198.7919133157</v>
      </c>
      <c r="O21" s="9">
        <f ca="1">IF($B21&gt;$O$3, TREND(OFFSET($L$8,$O$3,0):$L$31,(OFFSET($M$8,$O$3,0):$N$31),M21:N21,$O$1),"")</f>
        <v>63381.930284164795</v>
      </c>
      <c r="P21" s="13"/>
      <c r="Q21" s="10">
        <v>3506.1019999999999</v>
      </c>
      <c r="R21" s="9" t="str">
        <f t="shared" ca="1" si="4"/>
        <v/>
      </c>
      <c r="S21" s="9" t="str">
        <f ca="1">IF($B21&gt;$S$3, TREND(OFFSET($Q$8,$S$3,0):$Q$31,OFFSET($R$8,$S$3,0):$R$31,R21,$S$1),"")</f>
        <v/>
      </c>
      <c r="T21" s="13"/>
      <c r="U21" s="10">
        <v>7504676.2999999998</v>
      </c>
      <c r="V21" s="9">
        <f t="shared" ca="1" si="5"/>
        <v>2745199.6299384595</v>
      </c>
      <c r="W21" s="9">
        <f ca="1">IF($B21&gt;$W$3, TREND(OFFSET($U$8,$W$3,0):$U$31,OFFSET($V$8,$W$3,0):$V$31,V21),"")</f>
        <v>6665624.5254640374</v>
      </c>
      <c r="X21" s="13"/>
      <c r="Y21" s="13"/>
    </row>
    <row r="22" spans="1:25" x14ac:dyDescent="0.25">
      <c r="A22" s="75"/>
      <c r="B22" s="1">
        <v>15</v>
      </c>
      <c r="C22" s="1">
        <v>2016</v>
      </c>
      <c r="D22" s="9">
        <f>AR!D22</f>
        <v>11852881.700000001</v>
      </c>
      <c r="E22" s="9">
        <f t="shared" ca="1" si="0"/>
        <v>7806214.914021723</v>
      </c>
      <c r="F22" s="9">
        <f ca="1">IF($B22&gt;$F$3, TREND(OFFSET($D$8,$F$3,0):$D$31,OFFSET($E$8,$F$3,0):$E$31,E22,$F$1),"")</f>
        <v>13272599.613296775</v>
      </c>
      <c r="G22" s="13"/>
      <c r="H22" s="10">
        <v>8342022.5787704289</v>
      </c>
      <c r="I22" s="9">
        <f t="shared" ca="1" si="1"/>
        <v>23149.291880697179</v>
      </c>
      <c r="J22" s="9">
        <f ca="1">IF($B22&gt;$J$3, TREND(OFFSET($H$8,$J$3,0):$H$31,OFFSET($I$8,$J$3,0):$I$31,I22),"")</f>
        <v>8201595.0804461204</v>
      </c>
      <c r="K22" s="13"/>
      <c r="L22" s="10">
        <v>59750.30854984279</v>
      </c>
      <c r="M22" s="9">
        <f t="shared" ca="1" si="2"/>
        <v>3721.2849999999999</v>
      </c>
      <c r="N22" s="9">
        <f t="shared" ca="1" si="3"/>
        <v>2993345.5938084461</v>
      </c>
      <c r="O22" s="9">
        <f ca="1">IF($B22&gt;$O$3, TREND(OFFSET($L$8,$O$3,0):$L$31,(OFFSET($M$8,$O$3,0):$N$31),M22:N22,$O$1),"")</f>
        <v>71311.10138248658</v>
      </c>
      <c r="P22" s="13"/>
      <c r="Q22" s="10">
        <v>3420.6927000000001</v>
      </c>
      <c r="R22" s="9" t="str">
        <f t="shared" ca="1" si="4"/>
        <v/>
      </c>
      <c r="S22" s="9" t="str">
        <f ca="1">IF($B22&gt;$S$3, TREND(OFFSET($Q$8,$S$3,0):$Q$31,OFFSET($R$8,$S$3,0):$R$31,R22,$S$1),"")</f>
        <v/>
      </c>
      <c r="T22" s="13"/>
      <c r="U22" s="10">
        <v>8005749.4000000004</v>
      </c>
      <c r="V22" s="9">
        <f t="shared" ca="1" si="5"/>
        <v>3476075.5445336094</v>
      </c>
      <c r="W22" s="9">
        <f ca="1">IF($B22&gt;$W$3, TREND(OFFSET($U$8,$W$3,0):$U$31,OFFSET($V$8,$W$3,0):$V$31,V22),"")</f>
        <v>7802541.3310953015</v>
      </c>
      <c r="X22" s="13"/>
      <c r="Y22" s="13"/>
    </row>
    <row r="23" spans="1:25" x14ac:dyDescent="0.25">
      <c r="A23" s="75"/>
      <c r="B23" s="1">
        <v>16</v>
      </c>
      <c r="C23" s="1">
        <v>2017</v>
      </c>
      <c r="D23" s="9">
        <f>AR!D23</f>
        <v>12766002.800000001</v>
      </c>
      <c r="E23" s="9">
        <f t="shared" ca="1" si="0"/>
        <v>8342022.5787704289</v>
      </c>
      <c r="F23" s="9">
        <f ca="1">IF($B23&gt;$F$3, TREND(OFFSET($D$8,$F$3,0):$D$31,OFFSET($E$8,$F$3,0):$E$31,E23,$F$1),"")</f>
        <v>14106054.373847732</v>
      </c>
      <c r="G23" s="13"/>
      <c r="H23" s="10">
        <v>8435287.0999999996</v>
      </c>
      <c r="I23" s="9">
        <f t="shared" ca="1" si="1"/>
        <v>29243.136120380714</v>
      </c>
      <c r="J23" s="9">
        <f ca="1">IF($B23&gt;$J$3, TREND(OFFSET($H$8,$J$3,0):$H$31,OFFSET($I$8,$J$3,0):$I$31,I23),"")</f>
        <v>9595469.054418955</v>
      </c>
      <c r="K23" s="13"/>
      <c r="L23" s="10">
        <v>71121.2</v>
      </c>
      <c r="M23" s="9">
        <f t="shared" ca="1" si="2"/>
        <v>3722.31</v>
      </c>
      <c r="N23" s="9">
        <f t="shared" ca="1" si="3"/>
        <v>3292699.1332117636</v>
      </c>
      <c r="O23" s="9">
        <f ca="1">IF($B23&gt;$O$3, TREND(OFFSET($L$8,$O$3,0):$L$31,(OFFSET($M$8,$O$3,0):$N$31),M23:N23,$O$1),"")</f>
        <v>73962.029694812547</v>
      </c>
      <c r="P23" s="13"/>
      <c r="Q23" s="10">
        <v>4608.7519299999994</v>
      </c>
      <c r="R23" s="9" t="str">
        <f t="shared" ca="1" si="4"/>
        <v/>
      </c>
      <c r="S23" s="9" t="str">
        <f ca="1">IF($B23&gt;$S$3, TREND(OFFSET($Q$8,$S$3,0):$Q$31,OFFSET($R$8,$S$3,0):$R$31,R23,$S$1),"")</f>
        <v/>
      </c>
      <c r="T23" s="13"/>
      <c r="U23" s="10">
        <v>8435287.0999999996</v>
      </c>
      <c r="V23" s="9">
        <f t="shared" ca="1" si="5"/>
        <v>4183589.0473623835</v>
      </c>
      <c r="W23" s="9">
        <f ca="1">IF($B23&gt;$W$3, TREND(OFFSET($U$8,$W$3,0):$U$31,OFFSET($V$8,$W$3,0):$V$31,V23),"")</f>
        <v>8903116.6483468544</v>
      </c>
      <c r="X23" s="13"/>
      <c r="Y23" s="13"/>
    </row>
    <row r="24" spans="1:25" x14ac:dyDescent="0.25">
      <c r="A24" s="75"/>
      <c r="B24" s="1">
        <v>17</v>
      </c>
      <c r="C24" s="1">
        <v>2018</v>
      </c>
      <c r="D24" s="9">
        <f>AR!D24</f>
        <v>13515794</v>
      </c>
      <c r="E24" s="9">
        <f t="shared" ca="1" si="0"/>
        <v>8435287.0999999996</v>
      </c>
      <c r="F24" s="9">
        <f ca="1">IF($B24&gt;$F$3, TREND(OFFSET($D$8,$F$3,0):$D$31,OFFSET($E$8,$F$3,0):$E$31,E24,$F$1),"")</f>
        <v>14251128.370214971</v>
      </c>
      <c r="G24" s="13"/>
      <c r="H24" s="10">
        <v>8889867.7000000011</v>
      </c>
      <c r="I24" s="9">
        <f t="shared" ca="1" si="1"/>
        <v>32827.12981312503</v>
      </c>
      <c r="J24" s="9">
        <f ca="1">IF($B24&gt;$J$3, TREND(OFFSET($H$8,$J$3,0):$H$31,OFFSET($I$8,$J$3,0):$I$31,I24),"")</f>
        <v>10415252.976473801</v>
      </c>
      <c r="K24" s="13"/>
      <c r="L24" s="10">
        <v>79509</v>
      </c>
      <c r="M24" s="9">
        <f t="shared" ca="1" si="2"/>
        <v>3588.8969999999999</v>
      </c>
      <c r="N24" s="9">
        <f t="shared" ca="1" si="3"/>
        <v>3631807.6</v>
      </c>
      <c r="O24" s="9">
        <f ca="1">IF($B24&gt;$O$3, TREND(OFFSET($L$8,$O$3,0):$L$31,(OFFSET($M$8,$O$3,0):$N$31),M24:N24,$O$1),"")</f>
        <v>73420.643994469341</v>
      </c>
      <c r="P24" s="13"/>
      <c r="Q24" s="10">
        <v>4690.2311</v>
      </c>
      <c r="R24" s="9" t="str">
        <f t="shared" ca="1" si="4"/>
        <v/>
      </c>
      <c r="S24" s="9" t="str">
        <f ca="1">IF($B24&gt;$S$3, TREND(OFFSET($Q$8,$S$3,0):$Q$31,OFFSET($R$8,$S$3,0):$R$31,R24,$S$1),"")</f>
        <v/>
      </c>
      <c r="T24" s="13"/>
      <c r="U24" s="10">
        <v>8889867.7000000011</v>
      </c>
      <c r="V24" s="9">
        <f t="shared" ca="1" si="5"/>
        <v>5380452.4239379605</v>
      </c>
      <c r="W24" s="9">
        <f ca="1">IF($B24&gt;$W$3, TREND(OFFSET($U$8,$W$3,0):$U$31,OFFSET($V$8,$W$3,0):$V$31,V24),"")</f>
        <v>10764902.020802449</v>
      </c>
      <c r="X24" s="13"/>
      <c r="Y24" s="13"/>
    </row>
    <row r="25" spans="1:25" x14ac:dyDescent="0.25">
      <c r="A25" s="75"/>
      <c r="B25" s="1">
        <v>18</v>
      </c>
      <c r="C25" s="1">
        <v>2019</v>
      </c>
      <c r="D25" s="9">
        <f>AR!D25</f>
        <v>13615271.9</v>
      </c>
      <c r="E25" s="9">
        <f t="shared" ca="1" si="0"/>
        <v>8889867.7000000011</v>
      </c>
      <c r="F25" s="9">
        <f ca="1">IF($B25&gt;$F$3, TREND(OFFSET($D$8,$F$3,0):$D$31,OFFSET($E$8,$F$3,0):$E$31,E25,$F$1),"")</f>
        <v>14958233.531358575</v>
      </c>
      <c r="G25" s="13"/>
      <c r="H25" s="10">
        <v>9438926.0500000007</v>
      </c>
      <c r="I25" s="9">
        <f t="shared" ca="1" si="1"/>
        <v>34417.519307577262</v>
      </c>
      <c r="J25" s="9">
        <f ca="1">IF($B25&gt;$J$3, TREND(OFFSET($H$8,$J$3,0):$H$31,OFFSET($I$8,$J$3,0):$I$31,I25),"")</f>
        <v>10779030.329094797</v>
      </c>
      <c r="K25" s="13"/>
      <c r="L25" s="10">
        <v>84992.9</v>
      </c>
      <c r="M25" s="9">
        <f t="shared" ca="1" si="2"/>
        <v>3517.73</v>
      </c>
      <c r="N25" s="9">
        <f t="shared" ca="1" si="3"/>
        <v>6188755.7403909471</v>
      </c>
      <c r="O25" s="9">
        <f ca="1">IF($B25&gt;$O$3, TREND(OFFSET($L$8,$O$3,0):$L$31,(OFFSET($M$8,$O$3,0):$N$31),M25:N25,$O$1),"")</f>
        <v>93958.764976520673</v>
      </c>
      <c r="P25" s="13"/>
      <c r="Q25" s="10">
        <v>4692.8642</v>
      </c>
      <c r="R25" s="9">
        <f t="shared" ca="1" si="4"/>
        <v>854871.14703622425</v>
      </c>
      <c r="S25" s="9">
        <f ca="1">IF($B25&gt;$S$3, TREND(OFFSET($Q$8,$S$3,0):$Q$31,OFFSET($R$8,$S$3,0):$R$31,R25,$S$1),"")</f>
        <v>4705.0108659655989</v>
      </c>
      <c r="T25" s="13"/>
      <c r="U25" s="10">
        <v>9318440.1999999993</v>
      </c>
      <c r="V25" s="9">
        <f t="shared" ca="1" si="5"/>
        <v>5857652.2365358304</v>
      </c>
      <c r="W25" s="9">
        <f ca="1">IF($B25&gt;$W$3, TREND(OFFSET($U$8,$W$3,0):$U$31,OFFSET($V$8,$W$3,0):$V$31,V25),"")</f>
        <v>11507212.002226768</v>
      </c>
      <c r="X25" s="13"/>
      <c r="Y25" s="13"/>
    </row>
    <row r="26" spans="1:25" x14ac:dyDescent="0.25">
      <c r="A26" s="75"/>
      <c r="B26" s="1">
        <v>19</v>
      </c>
      <c r="C26" s="1">
        <v>2020</v>
      </c>
      <c r="D26" s="9">
        <f>AR!D26</f>
        <v>14544325.699999999</v>
      </c>
      <c r="E26" s="9">
        <f t="shared" ca="1" si="0"/>
        <v>9438926.0500000007</v>
      </c>
      <c r="F26" s="9">
        <f ca="1">IF($B26&gt;$F$3, TREND(OFFSET($D$8,$F$3,0):$D$31,OFFSET($E$8,$F$3,0):$E$31,E26,$F$1),"")</f>
        <v>15812299.879667301</v>
      </c>
      <c r="G26" s="13"/>
      <c r="H26" s="10">
        <v>9987984.4000000004</v>
      </c>
      <c r="I26" s="9">
        <f t="shared" ca="1" si="1"/>
        <v>38027.270514532211</v>
      </c>
      <c r="J26" s="9">
        <f ca="1">IF($B26&gt;$J$3, TREND(OFFSET($H$8,$J$3,0):$H$31,OFFSET($I$8,$J$3,0):$I$31,I26),"")</f>
        <v>11604705.889872313</v>
      </c>
      <c r="K26" s="13"/>
      <c r="L26" s="10">
        <v>91586</v>
      </c>
      <c r="M26" s="9">
        <f t="shared" ca="1" si="2"/>
        <v>3511.3829999999998</v>
      </c>
      <c r="N26" s="9">
        <f t="shared" ca="1" si="3"/>
        <v>7066670.2263727253</v>
      </c>
      <c r="O26" s="9">
        <f ca="1">IF($B26&gt;$O$3, TREND(OFFSET($L$8,$O$3,0):$L$31,(OFFSET($M$8,$O$3,0):$N$31),M26:N26,$O$1),"")</f>
        <v>101486.80923736485</v>
      </c>
      <c r="P26" s="13"/>
      <c r="Q26" s="10">
        <v>4732.6019299999998</v>
      </c>
      <c r="R26" s="9">
        <f t="shared" ca="1" si="4"/>
        <v>1139219.2493035407</v>
      </c>
      <c r="S26" s="9">
        <f ca="1">IF($B26&gt;$S$3, TREND(OFFSET($Q$8,$S$3,0):$Q$31,OFFSET($R$8,$S$3,0):$R$31,R26,$S$1),"")</f>
        <v>4686.0662433372072</v>
      </c>
      <c r="T26" s="13"/>
      <c r="U26" s="10">
        <v>9987984.4000000004</v>
      </c>
      <c r="V26" s="9">
        <f t="shared" ca="1" si="5"/>
        <v>6511019.5831007604</v>
      </c>
      <c r="W26" s="9">
        <f ca="1">IF($B26&gt;$W$3, TREND(OFFSET($U$8,$W$3,0):$U$31,OFFSET($V$8,$W$3,0):$V$31,V26),"")</f>
        <v>12523560.06039454</v>
      </c>
      <c r="X26" s="13"/>
      <c r="Y26" s="13"/>
    </row>
    <row r="27" spans="1:25" x14ac:dyDescent="0.25">
      <c r="A27" s="75"/>
      <c r="B27" s="1">
        <v>20</v>
      </c>
      <c r="C27" s="1">
        <v>2021</v>
      </c>
      <c r="D27" s="9">
        <f>AR!D27</f>
        <v>16406490.399999999</v>
      </c>
      <c r="E27" s="9">
        <f t="shared" ca="1" si="0"/>
        <v>9987984.4000000004</v>
      </c>
      <c r="F27" s="9">
        <f ca="1">IF($B27&gt;$F$3, TREND(OFFSET($D$8,$F$3,0):$D$31,OFFSET($E$8,$F$3,0):$E$31,E27,$F$1),"")</f>
        <v>16666366.227976028</v>
      </c>
      <c r="G27" s="13"/>
      <c r="H27" s="10">
        <v>10979479.5</v>
      </c>
      <c r="I27" s="9">
        <f t="shared" ca="1" si="1"/>
        <v>48913.793502099419</v>
      </c>
      <c r="J27" s="9">
        <f ca="1">IF($B27&gt;$J$3, TREND(OFFSET($H$8,$J$3,0):$H$31,OFFSET($I$8,$J$3,0):$I$31,I27),"")</f>
        <v>14094832.066811644</v>
      </c>
      <c r="K27" s="13"/>
      <c r="L27" s="10">
        <v>97845.4</v>
      </c>
      <c r="M27" s="9">
        <f t="shared" ca="1" si="2"/>
        <v>3511.895</v>
      </c>
      <c r="N27" s="9">
        <f t="shared" ca="1" si="3"/>
        <v>7517411.2509606024</v>
      </c>
      <c r="O27" s="9">
        <f ca="1">IF($B27&gt;$O$3, TREND(OFFSET($L$8,$O$3,0):$L$31,(OFFSET($M$8,$O$3,0):$N$31),M27:N27,$O$1),"")</f>
        <v>105451.18744465034</v>
      </c>
      <c r="P27" s="13"/>
      <c r="Q27" s="10">
        <v>4651.6728800000001</v>
      </c>
      <c r="R27" s="9">
        <f t="shared" ca="1" si="4"/>
        <v>1403738.508618192</v>
      </c>
      <c r="S27" s="9">
        <f ca="1">IF($B27&gt;$S$3, TREND(OFFSET($Q$8,$S$3,0):$Q$31,OFFSET($R$8,$S$3,0):$R$31,R27,$S$1),"")</f>
        <v>4668.4427125110842</v>
      </c>
      <c r="T27" s="13"/>
      <c r="U27" s="10">
        <v>12989466.85</v>
      </c>
      <c r="V27" s="9">
        <f t="shared" ca="1" si="5"/>
        <v>7448243.4494492188</v>
      </c>
      <c r="W27" s="9">
        <f ca="1">IF($B27&gt;$W$3, TREND(OFFSET($U$8,$W$3,0):$U$31,OFFSET($V$8,$W$3,0):$V$31,V27),"")</f>
        <v>13981462.206315581</v>
      </c>
      <c r="X27" s="13"/>
      <c r="Y27" s="13"/>
    </row>
    <row r="28" spans="1:25" ht="15" customHeight="1" x14ac:dyDescent="0.25">
      <c r="A28" s="75"/>
      <c r="B28" s="1">
        <v>21</v>
      </c>
      <c r="C28" s="1">
        <v>2022</v>
      </c>
      <c r="D28" s="9">
        <f>AR!D28</f>
        <v>19738622.600000001</v>
      </c>
      <c r="E28" s="9">
        <f t="shared" ca="1" si="0"/>
        <v>10979479.5</v>
      </c>
      <c r="F28" s="9">
        <f ca="1">IF($B28&gt;$F$3, TREND(OFFSET($D$8,$F$3,0):$D$31,OFFSET($E$8,$F$3,0):$E$31,E28,$F$1),"")</f>
        <v>18208647.844170365</v>
      </c>
      <c r="G28" s="13"/>
      <c r="H28" s="10">
        <v>13819986.5</v>
      </c>
      <c r="I28" s="9">
        <f t="shared" ca="1" si="1"/>
        <v>55417.97686444701</v>
      </c>
      <c r="J28" s="9">
        <f ca="1">IF($B28&gt;$J$3, TREND(OFFSET($H$8,$J$3,0):$H$31,OFFSET($I$8,$J$3,0):$I$31,I28),"")</f>
        <v>15582564.859797217</v>
      </c>
      <c r="K28" s="13"/>
      <c r="L28" s="10">
        <v>108572.5</v>
      </c>
      <c r="M28" s="9">
        <f t="shared" ca="1" si="2"/>
        <v>3506.1019999999999</v>
      </c>
      <c r="N28" s="9">
        <f t="shared" ca="1" si="3"/>
        <v>7806214.914021723</v>
      </c>
      <c r="O28" s="9">
        <f ca="1">IF($B28&gt;$O$3, TREND(OFFSET($L$8,$O$3,0):$L$31,(OFFSET($M$8,$O$3,0):$N$31),M28:N28,$O$1),"")</f>
        <v>107830.07262264864</v>
      </c>
      <c r="P28" s="13"/>
      <c r="Q28" s="10">
        <v>4634.6379999999999</v>
      </c>
      <c r="R28" s="9">
        <f t="shared" ca="1" si="4"/>
        <v>1677617.7878271635</v>
      </c>
      <c r="S28" s="9">
        <f ca="1">IF($B28&gt;$S$3, TREND(OFFSET($Q$8,$S$3,0):$Q$31,OFFSET($R$8,$S$3,0):$R$31,R28,$S$1),"")</f>
        <v>4650.1955726533606</v>
      </c>
      <c r="T28" s="13"/>
      <c r="U28" s="10">
        <v>15127767.050000001</v>
      </c>
      <c r="V28" s="9">
        <f t="shared" ca="1" si="5"/>
        <v>8915955.3337932099</v>
      </c>
      <c r="W28" s="9">
        <f ca="1">IF($B28&gt;$W$3, TREND(OFFSET($U$8,$W$3,0):$U$31,OFFSET($V$8,$W$3,0):$V$31,V28),"")</f>
        <v>16264567.004015377</v>
      </c>
      <c r="X28" s="13"/>
      <c r="Y28" s="13"/>
    </row>
    <row r="29" spans="1:25" ht="15" customHeight="1" x14ac:dyDescent="0.25">
      <c r="A29" s="75"/>
      <c r="B29" s="1">
        <v>22</v>
      </c>
      <c r="C29" s="1">
        <v>2023</v>
      </c>
      <c r="D29" s="9">
        <f>AR!D29</f>
        <v>24340433.200000003</v>
      </c>
      <c r="E29" s="9">
        <f t="shared" ca="1" si="0"/>
        <v>13819986.5</v>
      </c>
      <c r="F29" s="9">
        <f ca="1">IF($B29&gt;$F$3, TREND(OFFSET($D$8,$F$3,0):$D$31,OFFSET($E$8,$F$3,0):$E$31,E29,$F$1),"")</f>
        <v>22627087.962302398</v>
      </c>
      <c r="G29" s="13"/>
      <c r="H29" s="10">
        <v>16660493.5</v>
      </c>
      <c r="I29" s="9">
        <f t="shared" ca="1" si="1"/>
        <v>58446.402896956672</v>
      </c>
      <c r="J29" s="9">
        <f ca="1">IF($B29&gt;$J$3, TREND(OFFSET($H$8,$J$3,0):$H$31,OFFSET($I$8,$J$3,0):$I$31,I29),"")</f>
        <v>16275271.148764696</v>
      </c>
      <c r="K29" s="13"/>
      <c r="L29" s="10">
        <v>124522.3</v>
      </c>
      <c r="M29" s="9">
        <f t="shared" ca="1" si="2"/>
        <v>3420.6927000000001</v>
      </c>
      <c r="N29" s="9">
        <f t="shared" ca="1" si="3"/>
        <v>8342022.5787704289</v>
      </c>
      <c r="O29" s="9">
        <f ca="1">IF($B29&gt;$O$3, TREND(OFFSET($L$8,$O$3,0):$L$31,(OFFSET($M$8,$O$3,0):$N$31),M29:N29,$O$1),"")</f>
        <v>110277.12403886105</v>
      </c>
      <c r="P29" s="13"/>
      <c r="Q29" s="10">
        <v>4624.0249999999996</v>
      </c>
      <c r="R29" s="9">
        <f t="shared" ca="1" si="4"/>
        <v>2080056.4881224297</v>
      </c>
      <c r="S29" s="9">
        <f ca="1">IF($B29&gt;$S$3, TREND(OFFSET($Q$8,$S$3,0):$Q$31,OFFSET($R$8,$S$3,0):$R$31,R29,$S$1),"")</f>
        <v>4623.3831928718118</v>
      </c>
      <c r="T29" s="13"/>
      <c r="U29" s="10">
        <v>16660493.5</v>
      </c>
      <c r="V29" s="9">
        <f t="shared" ca="1" si="5"/>
        <v>10017461.84195617</v>
      </c>
      <c r="W29" s="9">
        <f ca="1">IF($B29&gt;$W$3, TREND(OFFSET($U$8,$W$3,0):$U$31,OFFSET($V$8,$W$3,0):$V$31,V29),"")</f>
        <v>17978019.637539867</v>
      </c>
      <c r="X29" s="13"/>
      <c r="Y29" s="13"/>
    </row>
    <row r="30" spans="1:25" ht="15" customHeight="1" x14ac:dyDescent="0.25">
      <c r="A30" s="76"/>
      <c r="B30" s="1">
        <v>23</v>
      </c>
      <c r="C30" s="1">
        <v>2024</v>
      </c>
      <c r="D30" s="9">
        <f>AR!D30</f>
        <v>29177253.5</v>
      </c>
      <c r="E30" s="9">
        <f t="shared" ca="1" si="0"/>
        <v>16660493.5</v>
      </c>
      <c r="F30" s="9">
        <f ca="1">IF($B30&gt;$F$3, TREND(OFFSET($D$8,$F$3,0):$D$31,OFFSET($E$8,$F$3,0):$E$31,E30,$F$1),"")</f>
        <v>27045528.08043443</v>
      </c>
      <c r="G30" s="13"/>
      <c r="H30" s="10">
        <v>20267549.700000003</v>
      </c>
      <c r="I30" s="9">
        <f t="shared" ca="1" si="1"/>
        <v>57428.570061473758</v>
      </c>
      <c r="J30" s="9">
        <f ca="1">IF($B30&gt;$J$3, TREND(OFFSET($H$8,$J$3,0):$H$31,OFFSET($I$8,$J$3,0):$I$31,I30),"")</f>
        <v>16042457.40370772</v>
      </c>
      <c r="K30" s="13"/>
      <c r="L30" s="10">
        <v>145843.40000000002</v>
      </c>
      <c r="M30" s="9">
        <f t="shared" ca="1" si="2"/>
        <v>4608.7519299999994</v>
      </c>
      <c r="N30" s="9">
        <f t="shared" ca="1" si="3"/>
        <v>8435287.0999999996</v>
      </c>
      <c r="O30" s="9">
        <f ca="1">IF($B30&gt;$O$3, TREND(OFFSET($L$8,$O$3,0):$L$31,(OFFSET($M$8,$O$3,0):$N$31),M30:N30,$O$1),"")</f>
        <v>142385.28907250109</v>
      </c>
      <c r="P30" s="13"/>
      <c r="Q30" s="10">
        <v>4571.1329999999998</v>
      </c>
      <c r="R30" s="9">
        <f t="shared" ca="1" si="4"/>
        <v>2564917.6229515877</v>
      </c>
      <c r="S30" s="9">
        <f ca="1">IF($B30&gt;$S$3, TREND(OFFSET($Q$8,$S$3,0):$Q$31,OFFSET($R$8,$S$3,0):$R$31,R30,$S$1),"")</f>
        <v>4591.0794385887011</v>
      </c>
      <c r="T30" s="13"/>
      <c r="U30" s="10">
        <v>20267549.700000003</v>
      </c>
      <c r="V30" s="9">
        <f t="shared" ca="1" si="5"/>
        <v>9925208.0999999996</v>
      </c>
      <c r="W30" s="9">
        <f ca="1">IF($B30&gt;$W$3, TREND(OFFSET($U$8,$W$3,0):$U$31,OFFSET($V$8,$W$3,0):$V$31,V30),"")</f>
        <v>17834513.978757229</v>
      </c>
      <c r="X30" s="13"/>
      <c r="Y30" s="13"/>
    </row>
    <row r="31" spans="1:25" ht="15" customHeight="1" x14ac:dyDescent="0.25">
      <c r="A31" s="45"/>
      <c r="B31" s="1">
        <v>24</v>
      </c>
      <c r="C31" s="1">
        <v>2025</v>
      </c>
      <c r="D31" s="9">
        <f>AR!D31</f>
        <v>32463740.899999999</v>
      </c>
      <c r="E31" s="9">
        <f t="shared" ca="1" si="0"/>
        <v>20267549.700000003</v>
      </c>
      <c r="F31" s="9">
        <f ca="1">IF($B31&gt;$F$3, TREND(OFFSET($D$8,$F$3,0):$D$31,OFFSET($E$8,$F$3,0):$E$31,E31,$F$1),"")</f>
        <v>32656343.97437058</v>
      </c>
      <c r="G31" s="13"/>
      <c r="H31" s="60">
        <v>18594505.235589996</v>
      </c>
      <c r="I31" s="9">
        <f t="shared" ca="1" si="1"/>
        <v>59750.30854984279</v>
      </c>
      <c r="J31" s="9">
        <f ca="1">IF($B31&gt;$J$3, TREND(OFFSET($H$8,$J$3,0):$H$31,OFFSET($I$8,$J$3,0):$I$31,I31),"")</f>
        <v>16573519.68984792</v>
      </c>
      <c r="K31" s="13"/>
      <c r="L31" s="60">
        <v>152647.44034584163</v>
      </c>
      <c r="M31" s="9">
        <f t="shared" ca="1" si="2"/>
        <v>4690.2311</v>
      </c>
      <c r="N31" s="9">
        <f t="shared" ca="1" si="3"/>
        <v>8889867.7000000011</v>
      </c>
      <c r="O31" s="9">
        <f ca="1">IF($B31&gt;$O$3, TREND(OFFSET($L$8,$O$3,0):$L$31,(OFFSET($M$8,$O$3,0):$N$31),M31:N31,$O$1),"")</f>
        <v>148515.80622368801</v>
      </c>
      <c r="P31" s="13"/>
      <c r="Q31" s="60">
        <v>4559.604221119982</v>
      </c>
      <c r="R31" s="9">
        <f t="shared" ca="1" si="4"/>
        <v>3296150.8327038502</v>
      </c>
      <c r="S31" s="9">
        <f ca="1">IF($B31&gt;$S$3, TREND(OFFSET($Q$8,$S$3,0):$Q$31,OFFSET($R$8,$S$3,0):$R$31,R31,$S$1),"")</f>
        <v>4542.3612051922255</v>
      </c>
      <c r="T31" s="13"/>
      <c r="U31" s="60">
        <v>22639157.185240481</v>
      </c>
      <c r="V31" s="9">
        <f t="shared" ca="1" si="5"/>
        <v>10706582.1</v>
      </c>
      <c r="W31" s="9">
        <f ca="1">IF($B31&gt;$W$3, TREND(OFFSET($U$8,$W$3,0):$U$31,OFFSET($V$8,$W$3,0):$V$31,V31),"")</f>
        <v>19049983.272988118</v>
      </c>
      <c r="X31" s="13"/>
      <c r="Y31" s="13"/>
    </row>
    <row r="32" spans="1:25" ht="15" customHeight="1" x14ac:dyDescent="0.25">
      <c r="A32" s="72" t="s">
        <v>21</v>
      </c>
      <c r="B32" s="1">
        <v>25</v>
      </c>
      <c r="C32" s="1">
        <v>2026</v>
      </c>
      <c r="D32" s="9">
        <f ca="1">F32</f>
        <v>30053904.768634457</v>
      </c>
      <c r="E32" s="9">
        <f t="shared" ca="1" si="0"/>
        <v>18594505.235589996</v>
      </c>
      <c r="F32" s="9">
        <f ca="1">IF($B32&gt;$F$3, TREND(OFFSET($D$8,$F$3,0):$D$31,OFFSET($E$8,$F$3,0):$E$31,E32,$F$1),"")</f>
        <v>30053904.768634457</v>
      </c>
      <c r="G32" s="13"/>
      <c r="H32" s="10">
        <f ca="1">J32</f>
        <v>19174437.768789083</v>
      </c>
      <c r="I32" s="9">
        <f t="shared" ca="1" si="1"/>
        <v>71121.2</v>
      </c>
      <c r="J32" s="9">
        <f ca="1">IF($B32&gt;$J$3, TREND(OFFSET($H$8,$J$3,0):$H$31,OFFSET($I$8,$J$3,0):$I$31,I32),"")</f>
        <v>19174437.768789083</v>
      </c>
      <c r="K32" s="13"/>
      <c r="L32" s="10">
        <f ca="1">O32</f>
        <v>153397.832885121</v>
      </c>
      <c r="M32" s="9">
        <f t="shared" ca="1" si="2"/>
        <v>4692.8642</v>
      </c>
      <c r="N32" s="9">
        <f t="shared" ca="1" si="3"/>
        <v>9438926.0500000007</v>
      </c>
      <c r="O32" s="9">
        <f ca="1">IF($B32&gt;$O$3, TREND(OFFSET($L$8,$O$3,0):$L$31,(OFFSET($M$8,$O$3,0):$N$31),M32:N32,$O$1),"")</f>
        <v>153397.832885121</v>
      </c>
      <c r="P32" s="13"/>
      <c r="Q32" s="10">
        <f ca="1">S32</f>
        <v>4505.2073293642143</v>
      </c>
      <c r="R32" s="9">
        <f t="shared" ca="1" si="4"/>
        <v>3853809.5568073275</v>
      </c>
      <c r="S32" s="9">
        <f ca="1">IF($B32&gt;$S$3, TREND(OFFSET($Q$8,$S$3,0):$Q$31,OFFSET($R$8,$S$3,0):$R$31,R32,$S$1),"")</f>
        <v>4505.2073293642143</v>
      </c>
      <c r="T32" s="13"/>
      <c r="U32" s="10">
        <f ca="1">W32</f>
        <v>20833113.970693894</v>
      </c>
      <c r="V32" s="9">
        <f t="shared" ca="1" si="5"/>
        <v>11852881.700000001</v>
      </c>
      <c r="W32" s="9">
        <f ca="1">IF($B32&gt;$W$3, TREND(OFFSET($U$8,$W$3,0):$U$31,OFFSET($V$8,$W$3,0):$V$31,V32),"")</f>
        <v>20833113.970693894</v>
      </c>
      <c r="X32" s="13"/>
      <c r="Y32" s="13"/>
    </row>
    <row r="33" spans="1:25" ht="15" customHeight="1" x14ac:dyDescent="0.25">
      <c r="A33" s="72"/>
      <c r="B33" s="1">
        <v>26</v>
      </c>
      <c r="C33" s="1">
        <v>2027</v>
      </c>
      <c r="D33" s="9">
        <f t="shared" ref="D33:D41" ca="1" si="6">F33</f>
        <v>30955996.251069382</v>
      </c>
      <c r="E33" s="9">
        <f t="shared" ca="1" si="0"/>
        <v>19174437.768789083</v>
      </c>
      <c r="F33" s="9">
        <f ca="1">IF($B33&gt;$F$3, TREND(OFFSET($D$8,$F$3,0):$D$31,OFFSET($E$8,$F$3,0):$E$31,E33,$F$1),"")</f>
        <v>30955996.251069382</v>
      </c>
      <c r="G33" s="13"/>
      <c r="H33" s="10">
        <f t="shared" ref="H33:H41" ca="1" si="7">J33</f>
        <v>21093019.153385896</v>
      </c>
      <c r="I33" s="9">
        <f t="shared" ca="1" si="1"/>
        <v>79509</v>
      </c>
      <c r="J33" s="9">
        <f ca="1">IF($B33&gt;$J$3, TREND(OFFSET($H$8,$J$3,0):$H$31,OFFSET($I$8,$J$3,0):$I$31,I33),"")</f>
        <v>21093019.153385896</v>
      </c>
      <c r="K33" s="13"/>
      <c r="L33" s="10">
        <f t="shared" ref="L33:L41" ca="1" si="8">O33</f>
        <v>159257.10776299634</v>
      </c>
      <c r="M33" s="9">
        <f t="shared" ca="1" si="2"/>
        <v>4732.6019299999998</v>
      </c>
      <c r="N33" s="9">
        <f t="shared" ca="1" si="3"/>
        <v>9987984.4000000004</v>
      </c>
      <c r="O33" s="9">
        <f ca="1">IF($B33&gt;$O$3, TREND(OFFSET($L$8,$O$3,0):$L$31,(OFFSET($M$8,$O$3,0):$N$31),M33:N33,$O$1),"")</f>
        <v>159257.10776299634</v>
      </c>
      <c r="P33" s="13"/>
      <c r="Q33" s="10">
        <f t="shared" ref="Q33:Q41" ca="1" si="9">S33</f>
        <v>4479.529789594777</v>
      </c>
      <c r="R33" s="9">
        <f t="shared" ca="1" si="4"/>
        <v>4239214.9484877475</v>
      </c>
      <c r="S33" s="9">
        <f ca="1">IF($B33&gt;$S$3, TREND(OFFSET($Q$8,$S$3,0):$Q$31,OFFSET($R$8,$S$3,0):$R$31,R33,$S$1),"")</f>
        <v>4479.529789594777</v>
      </c>
      <c r="T33" s="13"/>
      <c r="U33" s="10">
        <f t="shared" ref="U33:U41" ca="1" si="10">W33</f>
        <v>22253522.966852374</v>
      </c>
      <c r="V33" s="9">
        <f t="shared" ca="1" si="5"/>
        <v>12766002.800000001</v>
      </c>
      <c r="W33" s="9">
        <f ca="1">IF($B33&gt;$W$3, TREND(OFFSET($U$8,$W$3,0):$U$31,OFFSET($V$8,$W$3,0):$V$31,V33),"")</f>
        <v>22253522.966852374</v>
      </c>
      <c r="X33" s="13"/>
      <c r="Y33" s="13"/>
    </row>
    <row r="34" spans="1:25" ht="15" customHeight="1" x14ac:dyDescent="0.25">
      <c r="A34" s="72"/>
      <c r="B34" s="1">
        <v>27</v>
      </c>
      <c r="C34" s="1">
        <v>2028</v>
      </c>
      <c r="D34" s="9">
        <f t="shared" ca="1" si="6"/>
        <v>33940370.857294209</v>
      </c>
      <c r="E34" s="9">
        <f t="shared" ca="1" si="0"/>
        <v>21093019.153385896</v>
      </c>
      <c r="F34" s="9">
        <f ca="1">IF($B34&gt;$F$3, TREND(OFFSET($D$8,$F$3,0):$D$31,OFFSET($E$8,$F$3,0):$E$31,E34,$F$1),"")</f>
        <v>33940370.857294209</v>
      </c>
      <c r="G34" s="13"/>
      <c r="H34" s="10">
        <f t="shared" ca="1" si="7"/>
        <v>22347377.680650547</v>
      </c>
      <c r="I34" s="9">
        <f t="shared" ca="1" si="1"/>
        <v>84992.9</v>
      </c>
      <c r="J34" s="9">
        <f ca="1">IF($B34&gt;$J$3, TREND(OFFSET($H$8,$J$3,0):$H$31,OFFSET($I$8,$J$3,0):$I$31,I34),"")</f>
        <v>22347377.680650547</v>
      </c>
      <c r="K34" s="13"/>
      <c r="L34" s="10">
        <f t="shared" ca="1" si="8"/>
        <v>165816.40862458938</v>
      </c>
      <c r="M34" s="9">
        <f t="shared" ca="1" si="2"/>
        <v>4651.6728800000001</v>
      </c>
      <c r="N34" s="9">
        <f t="shared" ca="1" si="3"/>
        <v>10979479.5</v>
      </c>
      <c r="O34" s="9">
        <f ca="1">IF($B34&gt;$O$3, TREND(OFFSET($L$8,$O$3,0):$L$31,(OFFSET($M$8,$O$3,0):$N$31),M34:N34,$O$1),"")</f>
        <v>165816.40862458938</v>
      </c>
      <c r="P34" s="13"/>
      <c r="Q34" s="10">
        <f t="shared" ca="1" si="9"/>
        <v>4450.4422058653045</v>
      </c>
      <c r="R34" s="9">
        <f t="shared" ca="1" si="4"/>
        <v>4675803.1769923167</v>
      </c>
      <c r="S34" s="9">
        <f ca="1">IF($B34&gt;$S$3, TREND(OFFSET($Q$8,$S$3,0):$Q$31,OFFSET($R$8,$S$3,0):$R$31,R34,$S$1),"")</f>
        <v>4450.4422058653045</v>
      </c>
      <c r="T34" s="13"/>
      <c r="U34" s="10">
        <f t="shared" ca="1" si="10"/>
        <v>23419863.516556524</v>
      </c>
      <c r="V34" s="9">
        <f t="shared" ca="1" si="5"/>
        <v>13515794</v>
      </c>
      <c r="W34" s="9">
        <f ca="1">IF($B34&gt;$W$3, TREND(OFFSET($U$8,$W$3,0):$U$31,OFFSET($V$8,$W$3,0):$V$31,V34),"")</f>
        <v>23419863.516556524</v>
      </c>
      <c r="X34" s="13"/>
      <c r="Y34" s="13"/>
    </row>
    <row r="35" spans="1:25" ht="15" customHeight="1" x14ac:dyDescent="0.25">
      <c r="A35" s="72"/>
      <c r="B35" s="1">
        <v>28</v>
      </c>
      <c r="C35" s="1">
        <v>2029</v>
      </c>
      <c r="D35" s="9">
        <f t="shared" ca="1" si="6"/>
        <v>35891539.447756104</v>
      </c>
      <c r="E35" s="9">
        <f t="shared" ca="1" si="0"/>
        <v>22347377.680650547</v>
      </c>
      <c r="F35" s="9">
        <f ca="1">IF($B35&gt;$F$3, TREND(OFFSET($D$8,$F$3,0):$D$31,OFFSET($E$8,$F$3,0):$E$31,E35,$F$1),"")</f>
        <v>35891539.447756104</v>
      </c>
      <c r="G35" s="13"/>
      <c r="H35" s="10">
        <f t="shared" ca="1" si="7"/>
        <v>23855448.799035016</v>
      </c>
      <c r="I35" s="9">
        <f t="shared" ca="1" si="1"/>
        <v>91586</v>
      </c>
      <c r="J35" s="9">
        <f ca="1">IF($B35&gt;$J$3, TREND(OFFSET($H$8,$J$3,0):$H$31,OFFSET($I$8,$J$3,0):$I$31,I35),"")</f>
        <v>23855448.799035016</v>
      </c>
      <c r="K35" s="13"/>
      <c r="L35" s="10">
        <f t="shared" ca="1" si="8"/>
        <v>190265.72831888392</v>
      </c>
      <c r="M35" s="9">
        <f t="shared" ca="1" si="2"/>
        <v>4634.6379999999999</v>
      </c>
      <c r="N35" s="9">
        <f t="shared" ca="1" si="3"/>
        <v>13819986.5</v>
      </c>
      <c r="O35" s="9">
        <f ca="1">IF($B35&gt;$O$3, TREND(OFFSET($L$8,$O$3,0):$L$31,(OFFSET($M$8,$O$3,0):$N$31),M35:N35,$O$1),"")</f>
        <v>190265.72831888392</v>
      </c>
      <c r="P35" s="13"/>
      <c r="Q35" s="10">
        <f t="shared" ca="1" si="9"/>
        <v>4371.2406915514648</v>
      </c>
      <c r="R35" s="9">
        <f t="shared" ca="1" si="4"/>
        <v>5864573.2429680433</v>
      </c>
      <c r="S35" s="9">
        <f ca="1">IF($B35&gt;$S$3, TREND(OFFSET($Q$8,$S$3,0):$Q$31,OFFSET($R$8,$S$3,0):$R$31,R35,$S$1),"")</f>
        <v>4371.2406915514648</v>
      </c>
      <c r="T35" s="13"/>
      <c r="U35" s="10">
        <f t="shared" ca="1" si="10"/>
        <v>23574606.741829664</v>
      </c>
      <c r="V35" s="9">
        <f t="shared" ca="1" si="5"/>
        <v>13615271.9</v>
      </c>
      <c r="W35" s="9">
        <f ca="1">IF($B35&gt;$W$3, TREND(OFFSET($U$8,$W$3,0):$U$31,OFFSET($V$8,$W$3,0):$V$31,V35),"")</f>
        <v>23574606.741829664</v>
      </c>
      <c r="X35" s="13"/>
      <c r="Y35" s="13"/>
    </row>
    <row r="36" spans="1:25" ht="15" customHeight="1" x14ac:dyDescent="0.25">
      <c r="A36" s="72"/>
      <c r="B36" s="1">
        <v>29</v>
      </c>
      <c r="C36" s="1">
        <v>2030</v>
      </c>
      <c r="D36" s="9">
        <f t="shared" ca="1" si="6"/>
        <v>38237360.78544905</v>
      </c>
      <c r="E36" s="9">
        <f t="shared" ca="1" si="0"/>
        <v>23855448.799035016</v>
      </c>
      <c r="F36" s="9">
        <f ca="1">IF($B36&gt;$F$3, TREND(OFFSET($D$8,$F$3,0):$D$31,OFFSET($E$8,$F$3,0):$E$31,E36,$F$1),"")</f>
        <v>38237360.78544905</v>
      </c>
      <c r="G36" s="13"/>
      <c r="H36" s="10">
        <f t="shared" ca="1" si="7"/>
        <v>25287191.129413102</v>
      </c>
      <c r="I36" s="9">
        <f t="shared" ca="1" si="1"/>
        <v>97845.4</v>
      </c>
      <c r="J36" s="9">
        <f ca="1">IF($B36&gt;$J$3, TREND(OFFSET($H$8,$J$3,0):$H$31,OFFSET($I$8,$J$3,0):$I$31,I36),"")</f>
        <v>25287191.129413102</v>
      </c>
      <c r="K36" s="13"/>
      <c r="L36" s="10">
        <f t="shared" ca="1" si="8"/>
        <v>214884.1851471751</v>
      </c>
      <c r="M36" s="9">
        <f t="shared" ca="1" si="2"/>
        <v>4624.0249999999996</v>
      </c>
      <c r="N36" s="9">
        <f t="shared" ca="1" si="3"/>
        <v>16660493.5</v>
      </c>
      <c r="O36" s="9">
        <f ca="1">IF($B36&gt;$O$3, TREND(OFFSET($L$8,$O$3,0):$L$31,(OFFSET($M$8,$O$3,0):$N$31),M36:N36,$O$1),"")</f>
        <v>214884.1851471751</v>
      </c>
      <c r="P36" s="13"/>
      <c r="Q36" s="10">
        <f t="shared" ca="1" si="9"/>
        <v>4315.8137503661637</v>
      </c>
      <c r="R36" s="9">
        <f t="shared" ca="1" si="4"/>
        <v>6696500.3734088941</v>
      </c>
      <c r="S36" s="9">
        <f ca="1">IF($B36&gt;$S$3, TREND(OFFSET($Q$8,$S$3,0):$Q$31,OFFSET($R$8,$S$3,0):$R$31,R36,$S$1),"")</f>
        <v>4315.8137503661637</v>
      </c>
      <c r="T36" s="13"/>
      <c r="U36" s="10">
        <f t="shared" ca="1" si="10"/>
        <v>25019799.910003319</v>
      </c>
      <c r="V36" s="9">
        <f t="shared" ca="1" si="5"/>
        <v>14544325.699999999</v>
      </c>
      <c r="W36" s="9">
        <f ca="1">IF($B36&gt;$W$3, TREND(OFFSET($U$8,$W$3,0):$U$31,OFFSET($V$8,$W$3,0):$V$31,V36),"")</f>
        <v>25019799.910003319</v>
      </c>
      <c r="X36" s="13"/>
      <c r="Y36" s="13"/>
    </row>
    <row r="37" spans="1:25" x14ac:dyDescent="0.25">
      <c r="A37" s="72"/>
      <c r="B37" s="1">
        <v>30</v>
      </c>
      <c r="C37" s="1">
        <v>2031</v>
      </c>
      <c r="D37" s="9">
        <f t="shared" ca="1" si="6"/>
        <v>40464451.84749198</v>
      </c>
      <c r="E37" s="9">
        <f t="shared" ca="1" si="0"/>
        <v>25287191.129413102</v>
      </c>
      <c r="F37" s="9">
        <f ca="1">IF($B37&gt;$F$3, TREND(OFFSET($D$8,$F$3,0):$D$31,OFFSET($E$8,$F$3,0):$E$31,E37,$F$1),"")</f>
        <v>40464451.84749198</v>
      </c>
      <c r="G37" s="13"/>
      <c r="H37" s="10">
        <f t="shared" ca="1" si="7"/>
        <v>27740851.728224289</v>
      </c>
      <c r="I37" s="9">
        <f t="shared" ca="1" si="1"/>
        <v>108572.5</v>
      </c>
      <c r="J37" s="9">
        <f ca="1">IF($B37&gt;$J$3, TREND(OFFSET($H$8,$J$3,0):$H$31,OFFSET($I$8,$J$3,0):$I$31,I37),"")</f>
        <v>27740851.728224289</v>
      </c>
      <c r="K37" s="13"/>
      <c r="L37" s="10">
        <f t="shared" ca="1" si="8"/>
        <v>245108.16895943356</v>
      </c>
      <c r="M37" s="9">
        <f t="shared" ca="1" si="2"/>
        <v>4571.1329999999998</v>
      </c>
      <c r="N37" s="9">
        <f t="shared" ca="1" si="3"/>
        <v>20267549.700000003</v>
      </c>
      <c r="O37" s="9">
        <f ca="1">IF($B37&gt;$O$3, TREND(OFFSET($L$8,$O$3,0):$L$31,(OFFSET($M$8,$O$3,0):$N$31),M37:N37,$O$1),"")</f>
        <v>245108.16895943356</v>
      </c>
      <c r="P37" s="13"/>
      <c r="Q37" s="10">
        <f t="shared" ca="1" si="9"/>
        <v>4300.0312435857941</v>
      </c>
      <c r="R37" s="9">
        <f t="shared" ca="1" si="4"/>
        <v>6933386.9000000004</v>
      </c>
      <c r="S37" s="9">
        <f ca="1">IF($B37&gt;$S$3, TREND(OFFSET($Q$8,$S$3,0):$Q$31,OFFSET($R$8,$S$3,0):$R$31,R37,$S$1),"")</f>
        <v>4300.0312435857941</v>
      </c>
      <c r="T37" s="13"/>
      <c r="U37" s="10">
        <f t="shared" ca="1" si="10"/>
        <v>27916497.28366904</v>
      </c>
      <c r="V37" s="9">
        <f t="shared" ca="1" si="5"/>
        <v>16406490.399999999</v>
      </c>
      <c r="W37" s="9">
        <f ca="1">IF($B37&gt;$W$3, TREND(OFFSET($U$8,$W$3,0):$U$31,OFFSET($V$8,$W$3,0):$V$31,V37),"")</f>
        <v>27916497.28366904</v>
      </c>
      <c r="X37" s="13"/>
      <c r="Y37" s="13"/>
    </row>
    <row r="38" spans="1:25" x14ac:dyDescent="0.25">
      <c r="A38" s="72"/>
      <c r="B38" s="1">
        <v>31</v>
      </c>
      <c r="C38" s="1">
        <v>2032</v>
      </c>
      <c r="D38" s="9">
        <f t="shared" ca="1" si="6"/>
        <v>44281148.101388633</v>
      </c>
      <c r="E38" s="9">
        <f t="shared" ca="1" si="0"/>
        <v>27740851.728224289</v>
      </c>
      <c r="F38" s="9">
        <f ca="1">IF($B38&gt;$F$3, TREND(OFFSET($D$8,$F$3,0):$D$31,OFFSET($E$8,$F$3,0):$E$31,E38,$F$1),"")</f>
        <v>44281148.101388633</v>
      </c>
      <c r="G38" s="13"/>
      <c r="H38" s="10">
        <f t="shared" ca="1" si="7"/>
        <v>31389125.336088359</v>
      </c>
      <c r="I38" s="9">
        <f t="shared" ca="1" si="1"/>
        <v>124522.3</v>
      </c>
      <c r="J38" s="9">
        <f ca="1">IF($B38&gt;$J$3, TREND(OFFSET($H$8,$J$3,0):$H$31,OFFSET($I$8,$J$3,0):$I$31,I38),"")</f>
        <v>31389125.336088359</v>
      </c>
      <c r="K38" s="13"/>
      <c r="L38" s="10">
        <f t="shared" ca="1" si="8"/>
        <v>230139.7431574603</v>
      </c>
      <c r="M38" s="9">
        <f t="shared" ca="1" si="2"/>
        <v>4559.604221119982</v>
      </c>
      <c r="N38" s="9">
        <f t="shared" ca="1" si="3"/>
        <v>18594505.235589996</v>
      </c>
      <c r="O38" s="9">
        <f ca="1">IF($B38&gt;$O$3, TREND(OFFSET($L$8,$O$3,0):$L$31,(OFFSET($M$8,$O$3,0):$N$31),M38:N38,$O$1),"")</f>
        <v>230139.7431574603</v>
      </c>
      <c r="P38" s="13"/>
      <c r="Q38" s="10">
        <f t="shared" ca="1" si="9"/>
        <v>4261.9692273166456</v>
      </c>
      <c r="R38" s="9">
        <f t="shared" ca="1" si="4"/>
        <v>7504676.2999999998</v>
      </c>
      <c r="S38" s="9">
        <f ca="1">IF($B38&gt;$S$3, TREND(OFFSET($Q$8,$S$3,0):$Q$31,OFFSET($R$8,$S$3,0):$R$31,R38,$S$1),"")</f>
        <v>4261.9692273166456</v>
      </c>
      <c r="T38" s="13"/>
      <c r="U38" s="10">
        <f t="shared" ca="1" si="10"/>
        <v>33099808.186537609</v>
      </c>
      <c r="V38" s="9">
        <f t="shared" ca="1" si="5"/>
        <v>19738622.600000001</v>
      </c>
      <c r="W38" s="9">
        <f ca="1">IF($B38&gt;$W$3, TREND(OFFSET($U$8,$W$3,0):$U$31,OFFSET($V$8,$W$3,0):$V$31,V38),"")</f>
        <v>33099808.186537609</v>
      </c>
      <c r="X38" s="13"/>
      <c r="Y38" s="13"/>
    </row>
    <row r="39" spans="1:25" x14ac:dyDescent="0.25">
      <c r="A39" s="72"/>
      <c r="B39" s="1">
        <v>32</v>
      </c>
      <c r="C39" s="1">
        <v>2033</v>
      </c>
      <c r="D39" s="9">
        <f t="shared" ca="1" si="6"/>
        <v>49956078.130045101</v>
      </c>
      <c r="E39" s="9">
        <f t="shared" ca="1" si="0"/>
        <v>31389125.336088359</v>
      </c>
      <c r="F39" s="9">
        <f ca="1">IF($B39&gt;$F$3, TREND(OFFSET($D$8,$F$3,0):$D$31,OFFSET($E$8,$F$3,0):$E$31,E39,$F$1),"")</f>
        <v>49956078.130045101</v>
      </c>
      <c r="G39" s="13"/>
      <c r="H39" s="10">
        <f t="shared" ca="1" si="7"/>
        <v>36266001.937715381</v>
      </c>
      <c r="I39" s="9">
        <f t="shared" ca="1" si="1"/>
        <v>145843.40000000002</v>
      </c>
      <c r="J39" s="9">
        <f ca="1">IF($B39&gt;$J$3, TREND(OFFSET($H$8,$J$3,0):$H$31,OFFSET($I$8,$J$3,0):$I$31,I39),"")</f>
        <v>36266001.937715381</v>
      </c>
      <c r="L39" s="10">
        <f t="shared" ca="1" si="8"/>
        <v>233790.35706025135</v>
      </c>
      <c r="M39" s="9">
        <f t="shared" ca="1" si="2"/>
        <v>4505.2073293642143</v>
      </c>
      <c r="N39" s="9">
        <f t="shared" ca="1" si="3"/>
        <v>19174437.768789083</v>
      </c>
      <c r="O39" s="9">
        <f ca="1">IF($B39&gt;$O$3, TREND(OFFSET($L$8,$O$3,0):$L$31,(OFFSET($M$8,$O$3,0):$N$31),M39:N39,$O$1),"")</f>
        <v>233790.35706025135</v>
      </c>
      <c r="Q39" s="10">
        <f t="shared" ca="1" si="9"/>
        <v>4228.5853548270934</v>
      </c>
      <c r="R39" s="9">
        <f t="shared" ca="1" si="4"/>
        <v>8005749.4000000004</v>
      </c>
      <c r="S39" s="9">
        <f ca="1">IF($B39&gt;$S$3, TREND(OFFSET($Q$8,$S$3,0):$Q$31,OFFSET($R$8,$S$3,0):$R$31,R39,$S$1),"")</f>
        <v>4228.5853548270934</v>
      </c>
      <c r="U39" s="10">
        <f t="shared" ca="1" si="10"/>
        <v>40258172.1481824</v>
      </c>
      <c r="V39" s="9">
        <f t="shared" ca="1" si="5"/>
        <v>24340433.200000003</v>
      </c>
      <c r="W39" s="9">
        <f ca="1">IF($B39&gt;$W$3, TREND(OFFSET($U$8,$W$3,0):$U$31,OFFSET($V$8,$W$3,0):$V$31,V39),"")</f>
        <v>40258172.1481824</v>
      </c>
    </row>
    <row r="40" spans="1:25" x14ac:dyDescent="0.25">
      <c r="A40" s="72"/>
      <c r="B40" s="1">
        <v>33</v>
      </c>
      <c r="C40" s="1">
        <v>2034</v>
      </c>
      <c r="D40" s="9">
        <f t="shared" ca="1" si="6"/>
        <v>57542113.731368467</v>
      </c>
      <c r="E40" s="9">
        <f t="shared" ca="1" si="0"/>
        <v>36266001.937715381</v>
      </c>
      <c r="F40" s="9">
        <f ca="1">IF($B40&gt;$F$3, TREND(OFFSET($D$8,$F$3,0):$D$31,OFFSET($E$8,$F$3,0):$E$31,E40,$F$1),"")</f>
        <v>57542113.731368467</v>
      </c>
      <c r="G40" s="13"/>
      <c r="H40" s="10">
        <f t="shared" ca="1" si="7"/>
        <v>37822322.444591731</v>
      </c>
      <c r="I40" s="9">
        <f t="shared" ca="1" si="1"/>
        <v>152647.44034584163</v>
      </c>
      <c r="J40" s="9">
        <f ca="1">IF($B40&gt;$J$3, TREND(OFFSET($H$8,$J$3,0):$H$31,OFFSET($I$8,$J$3,0):$I$31,I40),"")</f>
        <v>37822322.444591731</v>
      </c>
      <c r="L40" s="10">
        <f t="shared" ca="1" si="8"/>
        <v>249931.06827449339</v>
      </c>
      <c r="M40" s="9">
        <f t="shared" ca="1" si="2"/>
        <v>4479.529789594777</v>
      </c>
      <c r="N40" s="9">
        <f t="shared" ca="1" si="3"/>
        <v>21093019.153385896</v>
      </c>
      <c r="O40" s="9">
        <f ca="1">IF($B40&gt;$O$3, TREND(OFFSET($L$8,$O$3,0):$L$31,(OFFSET($M$8,$O$3,0):$N$31),M40:N40,$O$1),"")</f>
        <v>249931.06827449339</v>
      </c>
      <c r="Q40" s="10">
        <f t="shared" ca="1" si="9"/>
        <v>4199.9675108313659</v>
      </c>
      <c r="R40" s="9">
        <f t="shared" ca="1" si="4"/>
        <v>8435287.0999999996</v>
      </c>
      <c r="S40" s="9">
        <f ca="1">IF($B40&gt;$S$3, TREND(OFFSET($Q$8,$S$3,0):$Q$31,OFFSET($R$8,$S$3,0):$R$31,R40,$S$1),"")</f>
        <v>4199.9675108313659</v>
      </c>
      <c r="U40" s="10">
        <f t="shared" ca="1" si="10"/>
        <v>47782106.341491416</v>
      </c>
      <c r="V40" s="9">
        <f t="shared" ca="1" si="5"/>
        <v>29177253.5</v>
      </c>
      <c r="W40" s="9">
        <f ca="1">IF($B40&gt;$W$3, TREND(OFFSET($U$8,$W$3,0):$U$31,OFFSET($V$8,$W$3,0):$V$31,V40),"")</f>
        <v>47782106.341491416</v>
      </c>
    </row>
    <row r="41" spans="1:25" x14ac:dyDescent="0.25">
      <c r="A41" s="72"/>
      <c r="B41" s="1">
        <v>34</v>
      </c>
      <c r="C41" s="1">
        <v>2035</v>
      </c>
      <c r="D41" s="9">
        <f t="shared" ca="1" si="6"/>
        <v>59962987.527579516</v>
      </c>
      <c r="E41" s="9">
        <f t="shared" ca="1" si="0"/>
        <v>37822322.444591731</v>
      </c>
      <c r="F41" s="9">
        <f ca="1">IF($B41&gt;$F$3, TREND(OFFSET($D$8,$F$3,0):$D$31,OFFSET($E$8,$F$3,0):$E$31,E41,$F$1),"")</f>
        <v>59962987.527579516</v>
      </c>
      <c r="G41" s="13"/>
      <c r="H41" s="10">
        <f t="shared" ca="1" si="7"/>
        <v>37993963.298808768</v>
      </c>
      <c r="I41" s="9">
        <f t="shared" ca="1" si="1"/>
        <v>153397.832885121</v>
      </c>
      <c r="J41" s="9">
        <f ca="1">IF($B41&gt;$J$3, TREND(OFFSET($H$8,$J$3,0):$H$31,OFFSET($I$8,$J$3,0):$I$31,I41),"")</f>
        <v>37993963.298808768</v>
      </c>
      <c r="L41" s="10">
        <f t="shared" ca="1" si="8"/>
        <v>260159.83517395734</v>
      </c>
      <c r="M41" s="9">
        <f t="shared" ca="1" si="2"/>
        <v>4450.4422058653045</v>
      </c>
      <c r="N41" s="9">
        <f t="shared" ca="1" si="3"/>
        <v>22347377.680650547</v>
      </c>
      <c r="O41" s="9">
        <f ca="1">IF($B41&gt;$O$3, TREND(OFFSET($L$8,$O$3,0):$L$31,(OFFSET($M$8,$O$3,0):$N$31),M41:N41,$O$1),"")</f>
        <v>260159.83517395734</v>
      </c>
      <c r="Q41" s="10">
        <f t="shared" ca="1" si="9"/>
        <v>4169.6811897604002</v>
      </c>
      <c r="R41" s="9">
        <f t="shared" ca="1" si="4"/>
        <v>8889867.7000000011</v>
      </c>
      <c r="S41" s="9">
        <f ca="1">IF($B41&gt;$S$3, TREND(OFFSET($Q$8,$S$3,0):$Q$31,OFFSET($R$8,$S$3,0):$R$31,R41,$S$1),"")</f>
        <v>4169.6811897604002</v>
      </c>
      <c r="U41" s="10">
        <f t="shared" ca="1" si="10"/>
        <v>52894414.302310064</v>
      </c>
      <c r="V41" s="9">
        <f t="shared" ca="1" si="5"/>
        <v>32463740.899999999</v>
      </c>
      <c r="W41" s="9">
        <f ca="1">IF($B41&gt;$W$3, TREND(OFFSET($U$8,$W$3,0):$U$31,OFFSET($V$8,$W$3,0):$V$31,V41),"")</f>
        <v>52894414.302310064</v>
      </c>
    </row>
  </sheetData>
  <mergeCells count="3">
    <mergeCell ref="A8:A30"/>
    <mergeCell ref="K12:K18"/>
    <mergeCell ref="A32:A41"/>
  </mergeCells>
  <conditionalFormatting sqref="AA12:AL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Spinner 1">
              <controlPr defaultSize="0" autoPict="0">
                <anchor moveWithCells="1" sizeWithCells="1">
                  <from>
                    <xdr:col>5</xdr:col>
                    <xdr:colOff>866775</xdr:colOff>
                    <xdr:row>1</xdr:row>
                    <xdr:rowOff>9525</xdr:rowOff>
                  </from>
                  <to>
                    <xdr:col>6</xdr:col>
                    <xdr:colOff>142875</xdr:colOff>
                    <xdr:row>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Spinner 2">
              <controlPr defaultSize="0" autoPict="0">
                <anchor moveWithCells="1" sizeWithCells="1">
                  <from>
                    <xdr:col>9</xdr:col>
                    <xdr:colOff>876300</xdr:colOff>
                    <xdr:row>1</xdr:row>
                    <xdr:rowOff>190500</xdr:rowOff>
                  </from>
                  <to>
                    <xdr:col>10</xdr:col>
                    <xdr:colOff>152400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Spinner 3">
              <controlPr defaultSize="0" autoPict="0">
                <anchor moveWithCells="1" sizeWithCells="1">
                  <from>
                    <xdr:col>14</xdr:col>
                    <xdr:colOff>876300</xdr:colOff>
                    <xdr:row>1</xdr:row>
                    <xdr:rowOff>190500</xdr:rowOff>
                  </from>
                  <to>
                    <xdr:col>15</xdr:col>
                    <xdr:colOff>152400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Spinner 4">
              <controlPr defaultSize="0" autoPict="0">
                <anchor moveWithCells="1" sizeWithCells="1">
                  <from>
                    <xdr:col>18</xdr:col>
                    <xdr:colOff>876300</xdr:colOff>
                    <xdr:row>1</xdr:row>
                    <xdr:rowOff>190500</xdr:rowOff>
                  </from>
                  <to>
                    <xdr:col>19</xdr:col>
                    <xdr:colOff>152400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Spinner 5">
              <controlPr defaultSize="0" autoPict="0">
                <anchor moveWithCells="1" sizeWithCells="1">
                  <from>
                    <xdr:col>22</xdr:col>
                    <xdr:colOff>876300</xdr:colOff>
                    <xdr:row>1</xdr:row>
                    <xdr:rowOff>190500</xdr:rowOff>
                  </from>
                  <to>
                    <xdr:col>23</xdr:col>
                    <xdr:colOff>152400</xdr:colOff>
                    <xdr:row>3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44"/>
  <sheetViews>
    <sheetView zoomScale="70" zoomScaleNormal="70" workbookViewId="0">
      <selection activeCell="G7" sqref="G7"/>
    </sheetView>
  </sheetViews>
  <sheetFormatPr defaultColWidth="8.85546875" defaultRowHeight="15" x14ac:dyDescent="0.25"/>
  <cols>
    <col min="1" max="1" width="3.7109375" bestFit="1" customWidth="1"/>
    <col min="2" max="2" width="3.28515625" bestFit="1" customWidth="1"/>
    <col min="3" max="3" width="5.42578125" bestFit="1" customWidth="1"/>
    <col min="4" max="23" width="9.28515625" customWidth="1"/>
    <col min="31" max="31" width="3.28515625" customWidth="1"/>
    <col min="32" max="33" width="11.42578125" customWidth="1"/>
    <col min="34" max="34" width="12.140625" bestFit="1" customWidth="1"/>
    <col min="35" max="35" width="2.42578125" customWidth="1"/>
    <col min="36" max="37" width="11.42578125" customWidth="1"/>
    <col min="38" max="38" width="12.140625" bestFit="1" customWidth="1"/>
    <col min="39" max="39" width="2.42578125" customWidth="1"/>
    <col min="40" max="41" width="11.42578125" customWidth="1"/>
    <col min="42" max="42" width="12.140625" bestFit="1" customWidth="1"/>
    <col min="43" max="43" width="2.42578125" customWidth="1"/>
    <col min="44" max="45" width="11.42578125" customWidth="1"/>
    <col min="46" max="46" width="12.140625" bestFit="1" customWidth="1"/>
    <col min="47" max="47" width="2.42578125" customWidth="1"/>
    <col min="48" max="49" width="11.42578125" customWidth="1"/>
    <col min="50" max="50" width="12.140625" bestFit="1" customWidth="1"/>
    <col min="51" max="51" width="2.42578125" customWidth="1"/>
  </cols>
  <sheetData>
    <row r="1" spans="1:50" x14ac:dyDescent="0.25">
      <c r="F1" t="s">
        <v>70</v>
      </c>
      <c r="I1" s="4" t="s">
        <v>69</v>
      </c>
      <c r="Y1" t="s">
        <v>68</v>
      </c>
    </row>
    <row r="2" spans="1:50" x14ac:dyDescent="0.25">
      <c r="F2" s="1">
        <v>2</v>
      </c>
      <c r="H2" s="5" t="str">
        <f t="array" ref="H2:H6">TRANSPOSE(D10:H10)</f>
        <v xml:space="preserve"> ВВП</v>
      </c>
      <c r="I2" s="26"/>
      <c r="J2" s="26" t="e">
        <f ca="1">ABS(CORREL(OFFSET($D$10,$F2,0):$D$34,OFFSET(J$10,$F2,0):J$34))</f>
        <v>#DIV/0!</v>
      </c>
      <c r="K2" s="26" t="e">
        <f ca="1">ABS(CORREL(OFFSET($D$10,$F2,0):$D$34,OFFSET(K$10,$F2,0):K$34))</f>
        <v>#DIV/0!</v>
      </c>
      <c r="L2" s="26" t="e">
        <f ca="1">ABS(CORREL(OFFSET($D$10,$F2,0):$D$34,OFFSET(L$10,$F2,0):L$34))</f>
        <v>#DIV/0!</v>
      </c>
      <c r="M2" s="26" t="e">
        <f ca="1">ABS(CORREL(OFFSET($D$10,$F2,0):$D$34,OFFSET(M$10,$F2,0):M$34))</f>
        <v>#DIV/0!</v>
      </c>
      <c r="N2" s="26"/>
      <c r="O2" s="26" t="e">
        <f ca="1">ABS(CORREL(OFFSET($D$10,$F2,0):$D$34,OFFSET(O$10,$F2,0):O$34))</f>
        <v>#DIV/0!</v>
      </c>
      <c r="P2" s="26" t="e">
        <f ca="1">ABS(CORREL(OFFSET($D$10,$F2,0):$D$34,OFFSET(P$10,$F2,0):P$34))</f>
        <v>#DIV/0!</v>
      </c>
      <c r="Q2" s="26" t="e">
        <f ca="1">ABS(CORREL(OFFSET($D$10,$F2,0):$D$34,OFFSET(Q$10,$F2,0):Q$34))</f>
        <v>#DIV/0!</v>
      </c>
      <c r="R2" s="26" t="e">
        <f ca="1">ABS(CORREL(OFFSET($D$10,$F2,0):$D$34,OFFSET(R$10,$F2,0):R$34))</f>
        <v>#DIV/0!</v>
      </c>
      <c r="S2" s="26"/>
      <c r="T2" s="26" t="e">
        <f ca="1">ABS(CORREL(OFFSET($D$10,$F2,0):$D$34,OFFSET(T$10,$F2,0):T$34))</f>
        <v>#DIV/0!</v>
      </c>
      <c r="U2" s="26" t="e">
        <f ca="1">ABS(CORREL(OFFSET($D$10,$F2,0):$D$34,OFFSET(U$10,$F2,0):U$34))</f>
        <v>#DIV/0!</v>
      </c>
      <c r="V2" s="26" t="e">
        <f ca="1">ABS(CORREL(OFFSET($D$10,$F2,0):$D$34,OFFSET(V$10,$F2,0):V$34))</f>
        <v>#DIV/0!</v>
      </c>
      <c r="W2" s="26" t="e">
        <f ca="1">ABS(CORREL(OFFSET($D$10,$F2,0):$D$34,OFFSET(W$10,$F2,0):W$34))</f>
        <v>#DIV/0!</v>
      </c>
    </row>
    <row r="3" spans="1:50" x14ac:dyDescent="0.25">
      <c r="F3" s="1">
        <v>2</v>
      </c>
      <c r="H3" s="5" t="str">
        <v xml:space="preserve"> ВДС</v>
      </c>
      <c r="I3" s="25" t="e">
        <f ca="1">ABS(CORREL(OFFSET($E$10,$F3,0):$E$34,OFFSET(I$10,$F3,0):I$34))</f>
        <v>#DIV/0!</v>
      </c>
      <c r="J3" s="26"/>
      <c r="K3" s="25" t="e">
        <f ca="1">ABS(CORREL(OFFSET($E$10,$F3,0):$E$34,OFFSET(K$10,$F3,0):K$34))</f>
        <v>#DIV/0!</v>
      </c>
      <c r="L3" s="25" t="e">
        <f ca="1">ABS(CORREL(OFFSET($E$10,$F3,0):$E$34,OFFSET(L$10,$F3,0):L$34))</f>
        <v>#DIV/0!</v>
      </c>
      <c r="M3" s="25" t="e">
        <f ca="1">ABS(CORREL(OFFSET($E$10,$F3,0):$E$34,OFFSET(M$10,$F3,0):M$34))</f>
        <v>#DIV/0!</v>
      </c>
      <c r="N3" s="25" t="e">
        <f ca="1">ABS(CORREL(OFFSET($E$10,$F3,0):$E$34,OFFSET(N$10,$F3,0):N$34))</f>
        <v>#DIV/0!</v>
      </c>
      <c r="O3" s="26"/>
      <c r="P3" s="25" t="e">
        <f ca="1">ABS(CORREL(OFFSET($E$10,$F3,0):$E$34,OFFSET(P$10,$F3,0):P$34))</f>
        <v>#DIV/0!</v>
      </c>
      <c r="Q3" s="25" t="e">
        <f ca="1">ABS(CORREL(OFFSET($E$10,$F3,0):$E$34,OFFSET(Q$10,$F3,0):Q$34))</f>
        <v>#DIV/0!</v>
      </c>
      <c r="R3" s="25" t="e">
        <f ca="1">ABS(CORREL(OFFSET($E$10,$F3,0):$E$34,OFFSET(R$10,$F3,0):R$34))</f>
        <v>#DIV/0!</v>
      </c>
      <c r="S3" s="25" t="e">
        <f ca="1">ABS(CORREL(OFFSET($E$10,$F3,0):$E$34,OFFSET(S$10,$F3,0):S$34))</f>
        <v>#DIV/0!</v>
      </c>
      <c r="T3" s="26"/>
      <c r="U3" s="25" t="e">
        <f ca="1">ABS(CORREL(OFFSET($E$10,$F3,0):$E$34,OFFSET(U$10,$F3,0):U$34))</f>
        <v>#DIV/0!</v>
      </c>
      <c r="V3" s="25" t="e">
        <f ca="1">ABS(CORREL(OFFSET($E$10,$F3,0):$E$34,OFFSET(V$10,$F3,0):V$34))</f>
        <v>#DIV/0!</v>
      </c>
      <c r="W3" s="25" t="e">
        <f ca="1">ABS(CORREL(OFFSET($E$10,$F3,0):$E$34,OFFSET(W$10,$F3,0):W$34))</f>
        <v>#DIV/0!</v>
      </c>
    </row>
    <row r="4" spans="1:50" x14ac:dyDescent="0.25">
      <c r="F4" s="1">
        <v>2</v>
      </c>
      <c r="H4" s="5" t="str">
        <v xml:space="preserve"> Ввод фондов</v>
      </c>
      <c r="I4" s="26" t="e">
        <f ca="1">ABS(CORREL(OFFSET($F$10,$F4,0):$F$33,OFFSET(I$10,$F4,0):I$33))</f>
        <v>#DIV/0!</v>
      </c>
      <c r="J4" s="26" t="e">
        <f ca="1">ABS(CORREL(OFFSET($F$10,$F4,0):$F$33,OFFSET(J$10,$F4,0):J$33))</f>
        <v>#DIV/0!</v>
      </c>
      <c r="K4" s="26"/>
      <c r="L4" s="26" t="e">
        <f ca="1">ABS(CORREL(OFFSET($F$10,$F4,0):$F$33,OFFSET(L$10,$F4,0):L$33))</f>
        <v>#DIV/0!</v>
      </c>
      <c r="M4" s="26" t="e">
        <f ca="1">ABS(CORREL(OFFSET($F$10,$F4,0):$F$33,OFFSET(M$10,$F4,0):M$33))</f>
        <v>#DIV/0!</v>
      </c>
      <c r="N4" s="26" t="e">
        <f ca="1">ABS(CORREL(OFFSET($F$10,$F4,0):$F$33,OFFSET(N$10,$F4,0):N$33))</f>
        <v>#DIV/0!</v>
      </c>
      <c r="O4" s="26" t="e">
        <f ca="1">ABS(CORREL(OFFSET($F$10,$F4,0):$F$33,OFFSET(O$10,$F4,0):O$33))</f>
        <v>#DIV/0!</v>
      </c>
      <c r="P4" s="26"/>
      <c r="Q4" s="26" t="e">
        <f ca="1">ABS(CORREL(OFFSET($F$10,$F4,0):$F$33,OFFSET(Q$10,$F4,0):Q$33))</f>
        <v>#DIV/0!</v>
      </c>
      <c r="R4" s="26" t="e">
        <f ca="1">ABS(CORREL(OFFSET($F$10,$F4,0):$F$33,OFFSET(R$10,$F4,0):R$33))</f>
        <v>#DIV/0!</v>
      </c>
      <c r="S4" s="26" t="e">
        <f ca="1">ABS(CORREL(OFFSET($F$10,$F4,0):$F$33,OFFSET(S$10,$F4,0):S$33))</f>
        <v>#DIV/0!</v>
      </c>
      <c r="T4" s="26" t="e">
        <f ca="1">ABS(CORREL(OFFSET($F$10,$F4,0):$F$33,OFFSET(T$10,$F4,0):T$33))</f>
        <v>#DIV/0!</v>
      </c>
      <c r="U4" s="26"/>
      <c r="V4" s="26" t="e">
        <f ca="1">ABS(CORREL(OFFSET($F$10,$F4,0):$F$33,OFFSET(V$10,$F4,0):V$33))</f>
        <v>#DIV/0!</v>
      </c>
      <c r="W4" s="26" t="e">
        <f ca="1">ABS(CORREL(OFFSET($F$10,$F4,0):$F$33,OFFSET(W$10,$F4,0):W$33))</f>
        <v>#DIV/0!</v>
      </c>
    </row>
    <row r="5" spans="1:50" x14ac:dyDescent="0.25">
      <c r="F5" s="1">
        <v>2</v>
      </c>
      <c r="H5" s="5" t="str">
        <v xml:space="preserve"> ЗАР ПЛАТА </v>
      </c>
      <c r="I5" s="26" t="e">
        <f ca="1">ABS(CORREL(OFFSET($G$10,$F5,0):$G$33,OFFSET(I$10,$F5,0):I$33))</f>
        <v>#DIV/0!</v>
      </c>
      <c r="J5" s="26" t="e">
        <f ca="1">ABS(CORREL(OFFSET($G$10,$F5,0):$G$33,OFFSET(J$10,$F5,0):J$33))</f>
        <v>#DIV/0!</v>
      </c>
      <c r="K5" s="26" t="e">
        <f ca="1">ABS(CORREL(OFFSET($G$10,$F5,0):$G$33,OFFSET(K$10,$F5,0):K$33))</f>
        <v>#DIV/0!</v>
      </c>
      <c r="L5" s="26"/>
      <c r="M5" s="26" t="e">
        <f ca="1">ABS(CORREL(OFFSET($G$10,$F5,0):$G$33,OFFSET(M$10,$F5,0):M$33))</f>
        <v>#DIV/0!</v>
      </c>
      <c r="N5" s="26" t="e">
        <f ca="1">ABS(CORREL(OFFSET($G$10,$F5,0):$G$33,OFFSET(N$10,$F5,0):N$33))</f>
        <v>#DIV/0!</v>
      </c>
      <c r="O5" s="26" t="e">
        <f ca="1">ABS(CORREL(OFFSET($G$10,$F5,0):$G$33,OFFSET(O$10,$F5,0):O$33))</f>
        <v>#DIV/0!</v>
      </c>
      <c r="P5" s="26" t="e">
        <f ca="1">ABS(CORREL(OFFSET($G$10,$F5,0):$G$33,OFFSET(P$10,$F5,0):P$33))</f>
        <v>#DIV/0!</v>
      </c>
      <c r="Q5" s="26"/>
      <c r="R5" s="26" t="e">
        <f ca="1">ABS(CORREL(OFFSET($G$10,$F5,0):$G$33,OFFSET(R$10,$F5,0):R$33))</f>
        <v>#DIV/0!</v>
      </c>
      <c r="S5" s="26" t="e">
        <f ca="1">ABS(CORREL(OFFSET($G$10,$F5,0):$G$33,OFFSET(S$10,$F5,0):S$33))</f>
        <v>#DIV/0!</v>
      </c>
      <c r="T5" s="26" t="e">
        <f ca="1">ABS(CORREL(OFFSET($G$10,$F5,0):$G$33,OFFSET(T$10,$F5,0):T$33))</f>
        <v>#DIV/0!</v>
      </c>
      <c r="U5" s="26" t="e">
        <f ca="1">ABS(CORREL(OFFSET($G$10,$F5,0):$G$33,OFFSET(U$10,$F5,0):U$33))</f>
        <v>#DIV/0!</v>
      </c>
      <c r="V5" s="26"/>
      <c r="W5" s="26" t="e">
        <f ca="1">ABS(CORREL(OFFSET($G$10,$F5,0):$G$33,OFFSET(W$10,$F5,0):W$33))</f>
        <v>#DIV/0!</v>
      </c>
    </row>
    <row r="6" spans="1:50" x14ac:dyDescent="0.25">
      <c r="F6" s="1">
        <v>2</v>
      </c>
      <c r="H6" s="5" t="str">
        <v xml:space="preserve"> Численность</v>
      </c>
      <c r="I6" s="26" t="e">
        <f ca="1">ABS(CORREL(OFFSET($H$10,$F6,0):$H$33,OFFSET(I$10,$F6,0):I$33))</f>
        <v>#DIV/0!</v>
      </c>
      <c r="J6" s="26" t="e">
        <f ca="1">ABS(CORREL(OFFSET($H$10,$F6,0):$H$33,OFFSET(J$10,$F6,0):J$33))</f>
        <v>#DIV/0!</v>
      </c>
      <c r="K6" s="26" t="e">
        <f ca="1">ABS(CORREL(OFFSET($H$10,$F6,0):$H$33,OFFSET(K$10,$F6,0):K$33))</f>
        <v>#DIV/0!</v>
      </c>
      <c r="L6" s="26" t="e">
        <f ca="1">ABS(CORREL(OFFSET($H$10,$F6,0):$H$33,OFFSET(L$10,$F6,0):L$33))</f>
        <v>#DIV/0!</v>
      </c>
      <c r="M6" s="26"/>
      <c r="N6" s="26" t="e">
        <f ca="1">ABS(CORREL(OFFSET($H$10,$F6,0):$H$33,OFFSET(N$10,$F6,0):N$33))</f>
        <v>#DIV/0!</v>
      </c>
      <c r="O6" s="26" t="e">
        <f ca="1">ABS(CORREL(OFFSET($H$10,$F6,0):$H$33,OFFSET(O$10,$F6,0):O$33))</f>
        <v>#DIV/0!</v>
      </c>
      <c r="P6" s="26" t="e">
        <f ca="1">ABS(CORREL(OFFSET($H$10,$F6,0):$H$33,OFFSET(P$10,$F6,0):P$33))</f>
        <v>#DIV/0!</v>
      </c>
      <c r="Q6" s="26" t="e">
        <f ca="1">ABS(CORREL(OFFSET($H$10,$F6,0):$H$33,OFFSET(Q$10,$F6,0):Q$33))</f>
        <v>#DIV/0!</v>
      </c>
      <c r="R6" s="26"/>
      <c r="S6" s="26" t="e">
        <f ca="1">ABS(CORREL(OFFSET($H$10,$F6,0):$H$33,OFFSET(S$10,$F6,0):S$33))</f>
        <v>#DIV/0!</v>
      </c>
      <c r="T6" s="26" t="e">
        <f ca="1">ABS(CORREL(OFFSET($H$10,$F6,0):$H$33,OFFSET(T$10,$F6,0):T$33))</f>
        <v>#DIV/0!</v>
      </c>
      <c r="U6" s="26" t="e">
        <f ca="1">ABS(CORREL(OFFSET($H$10,$F6,0):$H$33,OFFSET(U$10,$F6,0):U$33))</f>
        <v>#DIV/0!</v>
      </c>
      <c r="V6" s="26" t="e">
        <f ca="1">ABS(CORREL(OFFSET($H$10,$F6,0):$H$33,OFFSET(V$10,$F6,0):V$33))</f>
        <v>#DIV/0!</v>
      </c>
      <c r="W6" s="26"/>
    </row>
    <row r="8" spans="1:50" x14ac:dyDescent="0.25">
      <c r="C8" s="2"/>
      <c r="D8" s="78" t="s">
        <v>51</v>
      </c>
      <c r="E8" s="78"/>
      <c r="F8" s="78"/>
      <c r="G8" s="78"/>
      <c r="H8" s="78"/>
      <c r="I8" s="78" t="s">
        <v>62</v>
      </c>
      <c r="J8" s="78"/>
      <c r="K8" s="78"/>
      <c r="L8" s="78"/>
      <c r="M8" s="78"/>
      <c r="N8" s="78"/>
      <c r="O8" s="78"/>
      <c r="P8" s="78"/>
      <c r="Q8" s="78"/>
      <c r="R8" s="78"/>
      <c r="AF8" s="78" t="str">
        <f>D10</f>
        <v xml:space="preserve"> ВВП</v>
      </c>
      <c r="AG8" s="78"/>
      <c r="AH8" s="78"/>
      <c r="AJ8" s="78" t="str">
        <f>E10</f>
        <v xml:space="preserve"> ВДС</v>
      </c>
      <c r="AK8" s="78"/>
      <c r="AL8" s="78"/>
      <c r="AN8" s="78" t="str">
        <f>F10</f>
        <v xml:space="preserve"> Ввод фондов</v>
      </c>
      <c r="AO8" s="78"/>
      <c r="AP8" s="78"/>
      <c r="AR8" s="78" t="str">
        <f>G10</f>
        <v xml:space="preserve"> ЗАР ПЛАТА </v>
      </c>
      <c r="AS8" s="78"/>
      <c r="AT8" s="78"/>
      <c r="AV8" s="78" t="str">
        <f>H10</f>
        <v xml:space="preserve"> Численность</v>
      </c>
      <c r="AW8" s="78"/>
      <c r="AX8" s="78"/>
    </row>
    <row r="9" spans="1:50" x14ac:dyDescent="0.25">
      <c r="B9" s="2" t="s">
        <v>0</v>
      </c>
      <c r="D9" s="2" t="s">
        <v>31</v>
      </c>
      <c r="E9" s="2" t="s">
        <v>32</v>
      </c>
      <c r="F9" s="2" t="s">
        <v>48</v>
      </c>
      <c r="G9" s="2" t="s">
        <v>49</v>
      </c>
      <c r="H9" s="2" t="s">
        <v>50</v>
      </c>
      <c r="I9" s="2" t="s">
        <v>52</v>
      </c>
      <c r="J9" s="2" t="s">
        <v>53</v>
      </c>
      <c r="K9" s="2" t="s">
        <v>54</v>
      </c>
      <c r="L9" s="2" t="s">
        <v>55</v>
      </c>
      <c r="M9" s="2" t="s">
        <v>56</v>
      </c>
      <c r="N9" s="2" t="s">
        <v>57</v>
      </c>
      <c r="O9" s="2" t="s">
        <v>58</v>
      </c>
      <c r="P9" s="2" t="s">
        <v>59</v>
      </c>
      <c r="Q9" s="2" t="s">
        <v>60</v>
      </c>
      <c r="R9" s="2" t="s">
        <v>61</v>
      </c>
      <c r="S9" s="2" t="s">
        <v>63</v>
      </c>
      <c r="T9" s="2" t="s">
        <v>64</v>
      </c>
      <c r="U9" s="2" t="s">
        <v>65</v>
      </c>
      <c r="V9" s="2" t="s">
        <v>66</v>
      </c>
      <c r="W9" s="2" t="s">
        <v>67</v>
      </c>
      <c r="AF9" s="27"/>
      <c r="AG9" s="27"/>
      <c r="AH9" s="27" t="s">
        <v>71</v>
      </c>
      <c r="AJ9" s="27"/>
      <c r="AK9" s="27"/>
      <c r="AL9" s="27" t="s">
        <v>73</v>
      </c>
      <c r="AN9" s="27"/>
      <c r="AO9" s="27"/>
      <c r="AP9" s="27" t="s">
        <v>74</v>
      </c>
      <c r="AR9" s="27"/>
      <c r="AS9" s="27"/>
      <c r="AT9" s="27" t="s">
        <v>75</v>
      </c>
      <c r="AV9" s="27"/>
      <c r="AW9" s="27"/>
      <c r="AX9" s="27" t="s">
        <v>76</v>
      </c>
    </row>
    <row r="10" spans="1:50" ht="45.75" thickBot="1" x14ac:dyDescent="0.3">
      <c r="B10" s="40" t="s">
        <v>16</v>
      </c>
      <c r="C10" s="40" t="s">
        <v>10</v>
      </c>
      <c r="D10" s="41" t="s">
        <v>11</v>
      </c>
      <c r="E10" s="41" t="s">
        <v>45</v>
      </c>
      <c r="F10" s="41" t="s">
        <v>46</v>
      </c>
      <c r="G10" s="41" t="s">
        <v>47</v>
      </c>
      <c r="H10" s="41" t="s">
        <v>30</v>
      </c>
      <c r="I10" s="40" t="s">
        <v>11</v>
      </c>
      <c r="J10" s="40" t="s">
        <v>45</v>
      </c>
      <c r="K10" s="40" t="s">
        <v>46</v>
      </c>
      <c r="L10" s="40" t="s">
        <v>47</v>
      </c>
      <c r="M10" s="40" t="s">
        <v>30</v>
      </c>
      <c r="N10" s="40" t="s">
        <v>11</v>
      </c>
      <c r="O10" s="40" t="s">
        <v>45</v>
      </c>
      <c r="P10" s="40" t="s">
        <v>46</v>
      </c>
      <c r="Q10" s="40" t="s">
        <v>47</v>
      </c>
      <c r="R10" s="40" t="s">
        <v>30</v>
      </c>
      <c r="S10" s="40" t="s">
        <v>11</v>
      </c>
      <c r="T10" s="40" t="s">
        <v>45</v>
      </c>
      <c r="U10" s="40" t="s">
        <v>46</v>
      </c>
      <c r="V10" s="40" t="s">
        <v>47</v>
      </c>
      <c r="W10" s="40" t="s">
        <v>30</v>
      </c>
      <c r="AF10" s="40"/>
      <c r="AG10" s="42"/>
      <c r="AH10" s="42" t="s">
        <v>72</v>
      </c>
      <c r="AI10" s="43"/>
      <c r="AJ10" s="40"/>
      <c r="AK10" s="42"/>
      <c r="AL10" s="42" t="s">
        <v>72</v>
      </c>
      <c r="AM10" s="43"/>
      <c r="AN10" s="40"/>
      <c r="AO10" s="42"/>
      <c r="AP10" s="42" t="s">
        <v>72</v>
      </c>
      <c r="AQ10" s="43"/>
      <c r="AR10" s="40"/>
      <c r="AS10" s="42"/>
      <c r="AT10" s="42" t="s">
        <v>72</v>
      </c>
      <c r="AU10" s="43"/>
      <c r="AV10" s="40"/>
      <c r="AW10" s="42"/>
      <c r="AX10" s="42" t="s">
        <v>72</v>
      </c>
    </row>
    <row r="11" spans="1:50" ht="15.75" customHeight="1" thickBot="1" x14ac:dyDescent="0.3">
      <c r="A11" s="74" t="s">
        <v>20</v>
      </c>
      <c r="B11" s="1">
        <v>1</v>
      </c>
      <c r="C11" s="46">
        <v>2002</v>
      </c>
      <c r="D11" s="14"/>
      <c r="E11" s="15"/>
      <c r="F11" s="15"/>
      <c r="G11" s="15"/>
      <c r="H11" s="16"/>
      <c r="I11" s="32"/>
      <c r="J11" s="33"/>
      <c r="K11" s="33"/>
      <c r="L11" s="33"/>
      <c r="M11" s="33"/>
      <c r="N11" s="39"/>
      <c r="O11" s="34"/>
      <c r="P11" s="34"/>
      <c r="Q11" s="34"/>
      <c r="R11" s="35"/>
      <c r="S11" s="34"/>
      <c r="T11" s="34"/>
      <c r="U11" s="34"/>
      <c r="V11" s="34"/>
      <c r="W11" s="35"/>
      <c r="AF11" s="10"/>
      <c r="AG11" s="10"/>
      <c r="AJ11" s="10"/>
      <c r="AK11" s="10"/>
      <c r="AN11" s="10"/>
      <c r="AO11" s="10"/>
      <c r="AR11" s="10"/>
      <c r="AS11" s="10"/>
      <c r="AV11" s="10"/>
      <c r="AW11" s="10"/>
    </row>
    <row r="12" spans="1:50" ht="15.75" thickBot="1" x14ac:dyDescent="0.3">
      <c r="A12" s="75"/>
      <c r="B12" s="1">
        <v>2</v>
      </c>
      <c r="C12" s="1">
        <v>2003</v>
      </c>
      <c r="D12" s="17"/>
      <c r="E12" s="9"/>
      <c r="F12" s="9"/>
      <c r="G12" s="9"/>
      <c r="H12" s="21"/>
      <c r="I12" s="14"/>
      <c r="J12" s="15"/>
      <c r="K12" s="15"/>
      <c r="L12" s="15"/>
      <c r="M12" s="16"/>
      <c r="N12" s="37"/>
      <c r="O12" s="37"/>
      <c r="P12" s="37"/>
      <c r="Q12" s="37"/>
      <c r="R12" s="38"/>
      <c r="S12" s="13"/>
      <c r="T12" s="13"/>
      <c r="U12" s="13"/>
      <c r="V12" s="13"/>
      <c r="W12" s="23"/>
      <c r="AF12" s="10"/>
      <c r="AG12" s="10"/>
      <c r="AH12" s="10"/>
      <c r="AJ12" s="10"/>
      <c r="AK12" s="10"/>
      <c r="AL12" s="10"/>
      <c r="AN12" s="10"/>
      <c r="AO12" s="10"/>
      <c r="AP12" s="10"/>
      <c r="AR12" s="10"/>
      <c r="AS12" s="10"/>
      <c r="AT12" s="10"/>
      <c r="AV12" s="10"/>
      <c r="AW12" s="10"/>
      <c r="AX12" s="10"/>
    </row>
    <row r="13" spans="1:50" ht="15.75" thickBot="1" x14ac:dyDescent="0.3">
      <c r="A13" s="75"/>
      <c r="B13" s="1">
        <v>3</v>
      </c>
      <c r="C13" s="1">
        <v>2004</v>
      </c>
      <c r="D13" s="17"/>
      <c r="E13" s="9"/>
      <c r="F13" s="9"/>
      <c r="G13" s="9"/>
      <c r="H13" s="21"/>
      <c r="I13" s="17"/>
      <c r="J13" s="9"/>
      <c r="K13" s="9"/>
      <c r="L13" s="9"/>
      <c r="M13" s="21"/>
      <c r="N13" s="14"/>
      <c r="O13" s="15"/>
      <c r="P13" s="15"/>
      <c r="Q13" s="15"/>
      <c r="R13" s="16"/>
      <c r="S13" s="36"/>
      <c r="T13" s="37"/>
      <c r="U13" s="37"/>
      <c r="V13" s="37"/>
      <c r="W13" s="38"/>
      <c r="AF13" s="10"/>
      <c r="AG13" s="10"/>
      <c r="AH13" s="10"/>
      <c r="AJ13" s="10"/>
      <c r="AK13" s="10"/>
      <c r="AL13" s="10"/>
      <c r="AN13" s="10"/>
      <c r="AO13" s="10"/>
      <c r="AP13" s="10"/>
      <c r="AR13" s="10"/>
      <c r="AS13" s="10"/>
      <c r="AT13" s="10"/>
      <c r="AV13" s="10"/>
      <c r="AW13" s="10"/>
      <c r="AX13" s="10"/>
    </row>
    <row r="14" spans="1:50" x14ac:dyDescent="0.25">
      <c r="A14" s="75"/>
      <c r="B14" s="1">
        <v>4</v>
      </c>
      <c r="C14" s="1">
        <v>2005</v>
      </c>
      <c r="D14" s="17"/>
      <c r="E14" s="9"/>
      <c r="F14" s="9"/>
      <c r="G14" s="9"/>
      <c r="H14" s="21"/>
      <c r="I14" s="17"/>
      <c r="J14" s="9"/>
      <c r="K14" s="9"/>
      <c r="L14" s="9"/>
      <c r="M14" s="21"/>
      <c r="N14" s="17"/>
      <c r="O14" s="9"/>
      <c r="P14" s="9"/>
      <c r="Q14" s="9"/>
      <c r="R14" s="21"/>
      <c r="S14" s="14"/>
      <c r="T14" s="15"/>
      <c r="U14" s="15"/>
      <c r="V14" s="15"/>
      <c r="W14" s="16"/>
      <c r="AF14" s="10"/>
      <c r="AG14" s="10"/>
      <c r="AH14" s="10"/>
      <c r="AJ14" s="10"/>
      <c r="AK14" s="10"/>
      <c r="AL14" s="10"/>
      <c r="AN14" s="10"/>
      <c r="AO14" s="10"/>
      <c r="AP14" s="10"/>
      <c r="AR14" s="10"/>
      <c r="AS14" s="10"/>
      <c r="AT14" s="10"/>
      <c r="AV14" s="10"/>
      <c r="AW14" s="10"/>
      <c r="AX14" s="10"/>
    </row>
    <row r="15" spans="1:50" x14ac:dyDescent="0.25">
      <c r="A15" s="75"/>
      <c r="B15" s="1">
        <v>5</v>
      </c>
      <c r="C15" s="1">
        <v>2006</v>
      </c>
      <c r="D15" s="17"/>
      <c r="E15" s="9"/>
      <c r="F15" s="9"/>
      <c r="G15" s="9"/>
      <c r="H15" s="21"/>
      <c r="I15" s="17"/>
      <c r="J15" s="9"/>
      <c r="K15" s="9"/>
      <c r="L15" s="9"/>
      <c r="M15" s="21"/>
      <c r="N15" s="17"/>
      <c r="O15" s="9"/>
      <c r="P15" s="9"/>
      <c r="Q15" s="9"/>
      <c r="R15" s="21"/>
      <c r="S15" s="17"/>
      <c r="T15" s="9"/>
      <c r="U15" s="9"/>
      <c r="V15" s="9"/>
      <c r="W15" s="18"/>
      <c r="AF15" s="10"/>
      <c r="AG15" s="10"/>
      <c r="AH15" s="10"/>
      <c r="AJ15" s="10"/>
      <c r="AK15" s="10"/>
      <c r="AL15" s="10"/>
      <c r="AN15" s="10"/>
      <c r="AO15" s="10"/>
      <c r="AP15" s="10"/>
      <c r="AR15" s="10"/>
      <c r="AS15" s="10"/>
      <c r="AT15" s="10"/>
      <c r="AV15" s="10"/>
      <c r="AW15" s="10"/>
      <c r="AX15" s="10"/>
    </row>
    <row r="16" spans="1:50" x14ac:dyDescent="0.25">
      <c r="A16" s="75"/>
      <c r="B16" s="1">
        <v>6</v>
      </c>
      <c r="C16" s="1">
        <v>2007</v>
      </c>
      <c r="D16" s="17"/>
      <c r="E16" s="9"/>
      <c r="F16" s="9"/>
      <c r="G16" s="9"/>
      <c r="H16" s="21"/>
      <c r="I16" s="17"/>
      <c r="J16" s="9"/>
      <c r="K16" s="9"/>
      <c r="L16" s="9"/>
      <c r="M16" s="21"/>
      <c r="N16" s="17"/>
      <c r="O16" s="9"/>
      <c r="P16" s="9"/>
      <c r="Q16" s="9"/>
      <c r="R16" s="21"/>
      <c r="S16" s="17"/>
      <c r="T16" s="9"/>
      <c r="U16" s="9"/>
      <c r="V16" s="9"/>
      <c r="W16" s="18"/>
      <c r="Y16" s="3"/>
      <c r="AF16" s="10"/>
      <c r="AG16" s="10"/>
      <c r="AH16" s="10"/>
      <c r="AJ16" s="10"/>
      <c r="AK16" s="10"/>
      <c r="AL16" s="10"/>
      <c r="AN16" s="10"/>
      <c r="AO16" s="10"/>
      <c r="AP16" s="10"/>
      <c r="AR16" s="10"/>
      <c r="AS16" s="10"/>
      <c r="AT16" s="10"/>
      <c r="AV16" s="10"/>
      <c r="AW16" s="10"/>
      <c r="AX16" s="10"/>
    </row>
    <row r="17" spans="1:50" x14ac:dyDescent="0.25">
      <c r="A17" s="75"/>
      <c r="B17" s="1">
        <v>7</v>
      </c>
      <c r="C17" s="1">
        <v>2008</v>
      </c>
      <c r="D17" s="17"/>
      <c r="E17" s="9"/>
      <c r="F17" s="9"/>
      <c r="G17" s="9"/>
      <c r="H17" s="21"/>
      <c r="I17" s="17"/>
      <c r="J17" s="9"/>
      <c r="K17" s="9"/>
      <c r="L17" s="9"/>
      <c r="M17" s="21"/>
      <c r="N17" s="17"/>
      <c r="O17" s="9"/>
      <c r="P17" s="9"/>
      <c r="Q17" s="9"/>
      <c r="R17" s="21"/>
      <c r="S17" s="17"/>
      <c r="T17" s="9"/>
      <c r="U17" s="9"/>
      <c r="V17" s="9"/>
      <c r="W17" s="18"/>
      <c r="AF17" s="10"/>
      <c r="AG17" s="10"/>
      <c r="AH17" s="10"/>
      <c r="AJ17" s="10"/>
      <c r="AK17" s="10"/>
      <c r="AL17" s="10"/>
      <c r="AN17" s="10"/>
      <c r="AO17" s="10"/>
      <c r="AP17" s="10"/>
      <c r="AR17" s="10"/>
      <c r="AS17" s="10"/>
      <c r="AT17" s="10"/>
      <c r="AV17" s="10"/>
      <c r="AW17" s="10"/>
      <c r="AX17" s="10"/>
    </row>
    <row r="18" spans="1:50" x14ac:dyDescent="0.25">
      <c r="A18" s="75"/>
      <c r="B18" s="1">
        <v>8</v>
      </c>
      <c r="C18" s="1">
        <v>2009</v>
      </c>
      <c r="D18" s="17"/>
      <c r="E18" s="9"/>
      <c r="F18" s="9"/>
      <c r="G18" s="9"/>
      <c r="H18" s="21"/>
      <c r="I18" s="17"/>
      <c r="J18" s="9"/>
      <c r="K18" s="9"/>
      <c r="L18" s="9"/>
      <c r="M18" s="21"/>
      <c r="N18" s="17"/>
      <c r="O18" s="9"/>
      <c r="P18" s="9"/>
      <c r="Q18" s="9"/>
      <c r="R18" s="21"/>
      <c r="S18" s="17"/>
      <c r="T18" s="9"/>
      <c r="U18" s="9"/>
      <c r="V18" s="9"/>
      <c r="W18" s="18"/>
      <c r="AF18" s="10"/>
      <c r="AG18" s="10"/>
      <c r="AH18" s="10"/>
      <c r="AJ18" s="10"/>
      <c r="AK18" s="10"/>
      <c r="AL18" s="10"/>
      <c r="AN18" s="10"/>
      <c r="AO18" s="10"/>
      <c r="AP18" s="10"/>
      <c r="AR18" s="10"/>
      <c r="AS18" s="10"/>
      <c r="AT18" s="10"/>
      <c r="AV18" s="10"/>
      <c r="AW18" s="10"/>
      <c r="AX18" s="10"/>
    </row>
    <row r="19" spans="1:50" x14ac:dyDescent="0.25">
      <c r="A19" s="75"/>
      <c r="B19" s="1">
        <v>9</v>
      </c>
      <c r="C19" s="1">
        <v>2010</v>
      </c>
      <c r="D19" s="17"/>
      <c r="E19" s="9"/>
      <c r="F19" s="9"/>
      <c r="G19" s="9"/>
      <c r="H19" s="21"/>
      <c r="I19" s="17"/>
      <c r="J19" s="9"/>
      <c r="K19" s="9"/>
      <c r="L19" s="9"/>
      <c r="M19" s="21"/>
      <c r="N19" s="17"/>
      <c r="O19" s="9"/>
      <c r="P19" s="9"/>
      <c r="Q19" s="9"/>
      <c r="R19" s="21"/>
      <c r="S19" s="17"/>
      <c r="T19" s="9"/>
      <c r="U19" s="9"/>
      <c r="V19" s="9"/>
      <c r="W19" s="18"/>
      <c r="AF19" s="10"/>
      <c r="AG19" s="10"/>
      <c r="AH19" s="10"/>
      <c r="AJ19" s="10"/>
      <c r="AK19" s="10"/>
      <c r="AL19" s="10"/>
      <c r="AN19" s="10"/>
      <c r="AO19" s="10"/>
      <c r="AP19" s="10"/>
      <c r="AR19" s="10"/>
      <c r="AS19" s="10"/>
      <c r="AT19" s="10"/>
      <c r="AV19" s="10"/>
      <c r="AW19" s="10"/>
      <c r="AX19" s="10"/>
    </row>
    <row r="20" spans="1:50" x14ac:dyDescent="0.25">
      <c r="A20" s="75"/>
      <c r="B20" s="1">
        <v>10</v>
      </c>
      <c r="C20" s="1">
        <v>2011</v>
      </c>
      <c r="D20" s="17"/>
      <c r="E20" s="9"/>
      <c r="F20" s="9"/>
      <c r="G20" s="9"/>
      <c r="H20" s="21"/>
      <c r="I20" s="17"/>
      <c r="J20" s="9"/>
      <c r="K20" s="9"/>
      <c r="L20" s="9"/>
      <c r="M20" s="21"/>
      <c r="N20" s="17"/>
      <c r="O20" s="9"/>
      <c r="P20" s="9"/>
      <c r="Q20" s="9"/>
      <c r="R20" s="21"/>
      <c r="S20" s="17"/>
      <c r="T20" s="9"/>
      <c r="U20" s="9"/>
      <c r="V20" s="9"/>
      <c r="W20" s="18"/>
      <c r="AF20" s="10"/>
      <c r="AG20" s="10"/>
      <c r="AH20" s="10"/>
      <c r="AJ20" s="10"/>
      <c r="AK20" s="10"/>
      <c r="AL20" s="10"/>
      <c r="AN20" s="10"/>
      <c r="AO20" s="10"/>
      <c r="AP20" s="10"/>
      <c r="AR20" s="10"/>
      <c r="AS20" s="10"/>
      <c r="AT20" s="10"/>
      <c r="AV20" s="10"/>
      <c r="AW20" s="10"/>
      <c r="AX20" s="10"/>
    </row>
    <row r="21" spans="1:50" x14ac:dyDescent="0.25">
      <c r="A21" s="75"/>
      <c r="B21" s="1">
        <v>11</v>
      </c>
      <c r="C21" s="1">
        <v>2012</v>
      </c>
      <c r="D21" s="17"/>
      <c r="E21" s="9"/>
      <c r="F21" s="9"/>
      <c r="G21" s="9"/>
      <c r="H21" s="21"/>
      <c r="I21" s="17"/>
      <c r="J21" s="9"/>
      <c r="K21" s="9"/>
      <c r="L21" s="9"/>
      <c r="M21" s="21"/>
      <c r="N21" s="17"/>
      <c r="O21" s="9"/>
      <c r="P21" s="9"/>
      <c r="Q21" s="9"/>
      <c r="R21" s="21"/>
      <c r="S21" s="17"/>
      <c r="T21" s="9"/>
      <c r="U21" s="9"/>
      <c r="V21" s="9"/>
      <c r="W21" s="18"/>
      <c r="AF21" s="10"/>
      <c r="AG21" s="10"/>
      <c r="AH21" s="10"/>
      <c r="AJ21" s="10"/>
      <c r="AK21" s="10"/>
      <c r="AL21" s="10"/>
      <c r="AN21" s="10"/>
      <c r="AO21" s="10"/>
      <c r="AP21" s="10"/>
      <c r="AR21" s="10"/>
      <c r="AS21" s="10"/>
      <c r="AT21" s="10"/>
      <c r="AV21" s="10"/>
      <c r="AW21" s="10"/>
      <c r="AX21" s="10"/>
    </row>
    <row r="22" spans="1:50" x14ac:dyDescent="0.25">
      <c r="A22" s="75"/>
      <c r="B22" s="1">
        <v>12</v>
      </c>
      <c r="C22" s="1">
        <v>2013</v>
      </c>
      <c r="D22" s="17"/>
      <c r="E22" s="9"/>
      <c r="F22" s="9"/>
      <c r="G22" s="9"/>
      <c r="H22" s="21"/>
      <c r="I22" s="17"/>
      <c r="J22" s="9"/>
      <c r="K22" s="9"/>
      <c r="L22" s="9"/>
      <c r="M22" s="21"/>
      <c r="N22" s="17"/>
      <c r="O22" s="9"/>
      <c r="P22" s="9"/>
      <c r="Q22" s="9"/>
      <c r="R22" s="21"/>
      <c r="S22" s="17"/>
      <c r="T22" s="9"/>
      <c r="U22" s="9"/>
      <c r="V22" s="9"/>
      <c r="W22" s="18"/>
      <c r="AF22" s="10"/>
      <c r="AG22" s="10"/>
      <c r="AH22" s="10"/>
      <c r="AJ22" s="10"/>
      <c r="AK22" s="10"/>
      <c r="AL22" s="10"/>
      <c r="AN22" s="10"/>
      <c r="AO22" s="10"/>
      <c r="AP22" s="10"/>
      <c r="AR22" s="10"/>
      <c r="AS22" s="10"/>
      <c r="AT22" s="10"/>
      <c r="AV22" s="10"/>
      <c r="AW22" s="10"/>
      <c r="AX22" s="10"/>
    </row>
    <row r="23" spans="1:50" x14ac:dyDescent="0.25">
      <c r="A23" s="75"/>
      <c r="B23" s="1">
        <v>13</v>
      </c>
      <c r="C23" s="1">
        <v>2014</v>
      </c>
      <c r="D23" s="17"/>
      <c r="E23" s="9"/>
      <c r="F23" s="9"/>
      <c r="G23" s="9"/>
      <c r="H23" s="21"/>
      <c r="I23" s="17"/>
      <c r="J23" s="9"/>
      <c r="K23" s="9"/>
      <c r="L23" s="9"/>
      <c r="M23" s="21"/>
      <c r="N23" s="17"/>
      <c r="O23" s="9"/>
      <c r="P23" s="9"/>
      <c r="Q23" s="9"/>
      <c r="R23" s="21"/>
      <c r="S23" s="17"/>
      <c r="T23" s="9"/>
      <c r="U23" s="9"/>
      <c r="V23" s="9"/>
      <c r="W23" s="18"/>
      <c r="AF23" s="10"/>
      <c r="AG23" s="10"/>
      <c r="AH23" s="10"/>
      <c r="AJ23" s="10"/>
      <c r="AK23" s="10"/>
      <c r="AL23" s="10"/>
      <c r="AN23" s="10"/>
      <c r="AO23" s="10"/>
      <c r="AP23" s="10"/>
      <c r="AR23" s="10"/>
      <c r="AS23" s="10"/>
      <c r="AT23" s="10"/>
      <c r="AV23" s="10"/>
      <c r="AW23" s="10"/>
      <c r="AX23" s="10"/>
    </row>
    <row r="24" spans="1:50" x14ac:dyDescent="0.25">
      <c r="A24" s="75"/>
      <c r="B24" s="1">
        <v>14</v>
      </c>
      <c r="C24" s="1">
        <v>2015</v>
      </c>
      <c r="D24" s="17"/>
      <c r="E24" s="9"/>
      <c r="F24" s="9"/>
      <c r="G24" s="9"/>
      <c r="H24" s="21"/>
      <c r="I24" s="17"/>
      <c r="J24" s="9"/>
      <c r="K24" s="9"/>
      <c r="L24" s="9"/>
      <c r="M24" s="21"/>
      <c r="N24" s="17"/>
      <c r="O24" s="9"/>
      <c r="P24" s="9"/>
      <c r="Q24" s="9"/>
      <c r="R24" s="21"/>
      <c r="S24" s="17"/>
      <c r="T24" s="9"/>
      <c r="U24" s="9"/>
      <c r="V24" s="9"/>
      <c r="W24" s="18"/>
      <c r="AF24" s="10"/>
      <c r="AG24" s="10"/>
      <c r="AH24" s="10"/>
      <c r="AJ24" s="10"/>
      <c r="AK24" s="10"/>
      <c r="AL24" s="10"/>
      <c r="AN24" s="10"/>
      <c r="AO24" s="10"/>
      <c r="AP24" s="10"/>
      <c r="AR24" s="10"/>
      <c r="AS24" s="10"/>
      <c r="AT24" s="10"/>
      <c r="AV24" s="10"/>
      <c r="AW24" s="10"/>
      <c r="AX24" s="10"/>
    </row>
    <row r="25" spans="1:50" x14ac:dyDescent="0.25">
      <c r="A25" s="75"/>
      <c r="B25" s="1">
        <v>15</v>
      </c>
      <c r="C25" s="1">
        <v>2016</v>
      </c>
      <c r="D25" s="17"/>
      <c r="E25" s="9"/>
      <c r="F25" s="9"/>
      <c r="G25" s="9"/>
      <c r="H25" s="21"/>
      <c r="I25" s="17"/>
      <c r="J25" s="9"/>
      <c r="K25" s="9"/>
      <c r="L25" s="9"/>
      <c r="M25" s="21"/>
      <c r="N25" s="17"/>
      <c r="O25" s="9"/>
      <c r="P25" s="9"/>
      <c r="Q25" s="9"/>
      <c r="R25" s="21"/>
      <c r="S25" s="17"/>
      <c r="T25" s="9"/>
      <c r="U25" s="9"/>
      <c r="V25" s="9"/>
      <c r="W25" s="18"/>
      <c r="AF25" s="10"/>
      <c r="AG25" s="10"/>
      <c r="AH25" s="10"/>
      <c r="AJ25" s="10"/>
      <c r="AK25" s="10"/>
      <c r="AL25" s="10"/>
      <c r="AN25" s="10"/>
      <c r="AO25" s="10"/>
      <c r="AP25" s="10"/>
      <c r="AR25" s="10"/>
      <c r="AS25" s="10"/>
      <c r="AT25" s="10"/>
      <c r="AV25" s="10"/>
      <c r="AW25" s="10"/>
      <c r="AX25" s="10"/>
    </row>
    <row r="26" spans="1:50" x14ac:dyDescent="0.25">
      <c r="A26" s="75"/>
      <c r="B26" s="1">
        <v>16</v>
      </c>
      <c r="C26" s="1">
        <v>2017</v>
      </c>
      <c r="D26" s="17"/>
      <c r="E26" s="9"/>
      <c r="F26" s="9"/>
      <c r="G26" s="9"/>
      <c r="H26" s="21"/>
      <c r="I26" s="17"/>
      <c r="J26" s="9"/>
      <c r="K26" s="9"/>
      <c r="L26" s="9"/>
      <c r="M26" s="21"/>
      <c r="N26" s="17"/>
      <c r="O26" s="9"/>
      <c r="P26" s="9"/>
      <c r="Q26" s="9"/>
      <c r="R26" s="21"/>
      <c r="S26" s="17"/>
      <c r="T26" s="9"/>
      <c r="U26" s="9"/>
      <c r="V26" s="9"/>
      <c r="W26" s="18"/>
      <c r="AF26" s="10"/>
      <c r="AG26" s="10"/>
      <c r="AH26" s="10"/>
      <c r="AJ26" s="10"/>
      <c r="AK26" s="10"/>
      <c r="AL26" s="10"/>
      <c r="AN26" s="10"/>
      <c r="AO26" s="10"/>
      <c r="AP26" s="10"/>
      <c r="AR26" s="10"/>
      <c r="AS26" s="10"/>
      <c r="AT26" s="10"/>
      <c r="AV26" s="10"/>
      <c r="AW26" s="10"/>
      <c r="AX26" s="10"/>
    </row>
    <row r="27" spans="1:50" x14ac:dyDescent="0.25">
      <c r="A27" s="75"/>
      <c r="B27" s="1">
        <v>17</v>
      </c>
      <c r="C27" s="1">
        <v>2018</v>
      </c>
      <c r="D27" s="17"/>
      <c r="E27" s="9"/>
      <c r="F27" s="9"/>
      <c r="G27" s="9"/>
      <c r="H27" s="21"/>
      <c r="I27" s="17"/>
      <c r="J27" s="9"/>
      <c r="K27" s="9"/>
      <c r="L27" s="9"/>
      <c r="M27" s="21"/>
      <c r="N27" s="17"/>
      <c r="O27" s="9"/>
      <c r="P27" s="9"/>
      <c r="Q27" s="9"/>
      <c r="R27" s="21"/>
      <c r="S27" s="17"/>
      <c r="T27" s="9"/>
      <c r="U27" s="9"/>
      <c r="V27" s="9"/>
      <c r="W27" s="18"/>
      <c r="AF27" s="10"/>
      <c r="AG27" s="10"/>
      <c r="AH27" s="10"/>
      <c r="AJ27" s="10"/>
      <c r="AK27" s="10"/>
      <c r="AL27" s="10"/>
      <c r="AN27" s="10"/>
      <c r="AO27" s="10"/>
      <c r="AP27" s="10"/>
      <c r="AR27" s="10"/>
      <c r="AS27" s="10"/>
      <c r="AT27" s="10"/>
      <c r="AV27" s="10"/>
      <c r="AW27" s="10"/>
      <c r="AX27" s="10"/>
    </row>
    <row r="28" spans="1:50" x14ac:dyDescent="0.25">
      <c r="A28" s="75"/>
      <c r="B28" s="1">
        <v>18</v>
      </c>
      <c r="C28" s="1">
        <v>2019</v>
      </c>
      <c r="D28" s="17"/>
      <c r="E28" s="9"/>
      <c r="F28" s="9"/>
      <c r="G28" s="9"/>
      <c r="H28" s="21"/>
      <c r="I28" s="17"/>
      <c r="J28" s="9"/>
      <c r="K28" s="9"/>
      <c r="L28" s="9"/>
      <c r="M28" s="21"/>
      <c r="N28" s="17"/>
      <c r="O28" s="9"/>
      <c r="P28" s="9"/>
      <c r="Q28" s="9"/>
      <c r="R28" s="21"/>
      <c r="S28" s="17"/>
      <c r="T28" s="9"/>
      <c r="U28" s="9"/>
      <c r="V28" s="9"/>
      <c r="W28" s="18"/>
      <c r="AF28" s="10"/>
      <c r="AG28" s="10"/>
      <c r="AH28" s="10"/>
      <c r="AJ28" s="10"/>
      <c r="AK28" s="10"/>
      <c r="AL28" s="10"/>
      <c r="AN28" s="10"/>
      <c r="AO28" s="10"/>
      <c r="AP28" s="10"/>
      <c r="AR28" s="10"/>
      <c r="AS28" s="10"/>
      <c r="AT28" s="10"/>
      <c r="AV28" s="10"/>
      <c r="AW28" s="10"/>
      <c r="AX28" s="10"/>
    </row>
    <row r="29" spans="1:50" x14ac:dyDescent="0.25">
      <c r="A29" s="75"/>
      <c r="B29" s="1">
        <v>19</v>
      </c>
      <c r="C29" s="1">
        <v>2020</v>
      </c>
      <c r="D29" s="17"/>
      <c r="E29" s="9"/>
      <c r="F29" s="9"/>
      <c r="G29" s="9"/>
      <c r="H29" s="21"/>
      <c r="I29" s="17"/>
      <c r="J29" s="9"/>
      <c r="K29" s="9"/>
      <c r="L29" s="9"/>
      <c r="M29" s="21"/>
      <c r="N29" s="17"/>
      <c r="O29" s="9"/>
      <c r="P29" s="9"/>
      <c r="Q29" s="9"/>
      <c r="R29" s="21"/>
      <c r="S29" s="17"/>
      <c r="T29" s="9"/>
      <c r="U29" s="9"/>
      <c r="V29" s="9"/>
      <c r="W29" s="18"/>
      <c r="AF29" s="10"/>
      <c r="AG29" s="10"/>
      <c r="AH29" s="10"/>
      <c r="AJ29" s="10"/>
      <c r="AK29" s="10"/>
      <c r="AL29" s="10"/>
      <c r="AN29" s="10"/>
      <c r="AO29" s="10"/>
      <c r="AP29" s="10"/>
      <c r="AR29" s="10"/>
      <c r="AS29" s="10"/>
      <c r="AT29" s="10"/>
      <c r="AV29" s="10"/>
      <c r="AW29" s="10"/>
      <c r="AX29" s="10"/>
    </row>
    <row r="30" spans="1:50" x14ac:dyDescent="0.25">
      <c r="A30" s="75"/>
      <c r="B30" s="1">
        <v>20</v>
      </c>
      <c r="C30" s="1">
        <v>2021</v>
      </c>
      <c r="D30" s="17"/>
      <c r="E30" s="9"/>
      <c r="F30" s="9"/>
      <c r="G30" s="9"/>
      <c r="H30" s="21"/>
      <c r="I30" s="17"/>
      <c r="J30" s="9"/>
      <c r="K30" s="9"/>
      <c r="L30" s="9"/>
      <c r="M30" s="21"/>
      <c r="N30" s="17"/>
      <c r="O30" s="9"/>
      <c r="P30" s="9"/>
      <c r="Q30" s="9"/>
      <c r="R30" s="21"/>
      <c r="S30" s="17"/>
      <c r="T30" s="9"/>
      <c r="U30" s="9"/>
      <c r="V30" s="9"/>
      <c r="W30" s="18"/>
      <c r="AF30" s="10"/>
      <c r="AG30" s="10"/>
      <c r="AH30" s="10"/>
      <c r="AJ30" s="10"/>
      <c r="AK30" s="10"/>
      <c r="AL30" s="10"/>
      <c r="AN30" s="10"/>
      <c r="AO30" s="10"/>
      <c r="AP30" s="10"/>
      <c r="AR30" s="10"/>
      <c r="AS30" s="10"/>
      <c r="AT30" s="10"/>
      <c r="AV30" s="10"/>
      <c r="AW30" s="10"/>
      <c r="AX30" s="10"/>
    </row>
    <row r="31" spans="1:50" ht="15.75" customHeight="1" x14ac:dyDescent="0.25">
      <c r="A31" s="75"/>
      <c r="B31" s="1">
        <v>21</v>
      </c>
      <c r="C31" s="1">
        <v>2022</v>
      </c>
      <c r="D31" s="17"/>
      <c r="E31" s="9"/>
      <c r="F31" s="9"/>
      <c r="G31" s="9"/>
      <c r="H31" s="21"/>
      <c r="I31" s="17"/>
      <c r="J31" s="9"/>
      <c r="K31" s="9"/>
      <c r="L31" s="9"/>
      <c r="M31" s="21"/>
      <c r="N31" s="17"/>
      <c r="O31" s="9"/>
      <c r="P31" s="9"/>
      <c r="Q31" s="9"/>
      <c r="R31" s="21"/>
      <c r="S31" s="17"/>
      <c r="T31" s="9"/>
      <c r="U31" s="9"/>
      <c r="V31" s="9"/>
      <c r="W31" s="18"/>
      <c r="AF31" s="10"/>
      <c r="AG31" s="10"/>
      <c r="AH31" s="10"/>
      <c r="AJ31" s="10"/>
      <c r="AK31" s="10"/>
      <c r="AL31" s="10"/>
      <c r="AN31" s="10"/>
      <c r="AO31" s="10"/>
      <c r="AP31" s="10"/>
      <c r="AR31" s="10"/>
      <c r="AS31" s="10"/>
      <c r="AT31" s="10"/>
      <c r="AV31" s="10"/>
      <c r="AW31" s="10"/>
      <c r="AX31" s="10"/>
    </row>
    <row r="32" spans="1:50" ht="15.75" customHeight="1" x14ac:dyDescent="0.25">
      <c r="A32" s="75"/>
      <c r="B32" s="1">
        <v>22</v>
      </c>
      <c r="C32" s="1">
        <v>2023</v>
      </c>
      <c r="D32" s="17"/>
      <c r="E32" s="9"/>
      <c r="F32" s="24"/>
      <c r="G32" s="24"/>
      <c r="H32" s="44"/>
      <c r="I32" s="17"/>
      <c r="J32" s="9"/>
      <c r="K32" s="9"/>
      <c r="L32" s="9"/>
      <c r="M32" s="21"/>
      <c r="N32" s="17"/>
      <c r="O32" s="9"/>
      <c r="P32" s="9"/>
      <c r="Q32" s="9"/>
      <c r="R32" s="21"/>
      <c r="S32" s="17"/>
      <c r="T32" s="9"/>
      <c r="U32" s="9"/>
      <c r="V32" s="9"/>
      <c r="W32" s="18"/>
      <c r="AF32" s="10"/>
      <c r="AG32" s="10"/>
      <c r="AH32" s="10"/>
      <c r="AJ32" s="10"/>
      <c r="AK32" s="10"/>
      <c r="AL32" s="10"/>
      <c r="AN32" s="10"/>
      <c r="AO32" s="10"/>
      <c r="AP32" s="10"/>
      <c r="AR32" s="10"/>
      <c r="AS32" s="10"/>
      <c r="AT32" s="10"/>
      <c r="AV32" s="10"/>
      <c r="AW32" s="10"/>
      <c r="AX32" s="10"/>
    </row>
    <row r="33" spans="1:50" ht="15.75" thickBot="1" x14ac:dyDescent="0.3">
      <c r="A33" s="76"/>
      <c r="B33" s="1">
        <v>23</v>
      </c>
      <c r="C33" s="1">
        <v>2024</v>
      </c>
      <c r="D33" s="17"/>
      <c r="E33" s="9"/>
      <c r="F33" s="24"/>
      <c r="G33" s="24"/>
      <c r="H33" s="44"/>
      <c r="I33" s="17"/>
      <c r="J33" s="9"/>
      <c r="K33" s="9"/>
      <c r="L33" s="9"/>
      <c r="M33" s="21"/>
      <c r="N33" s="17"/>
      <c r="O33" s="9"/>
      <c r="P33" s="9"/>
      <c r="Q33" s="9"/>
      <c r="R33" s="21"/>
      <c r="S33" s="17"/>
      <c r="T33" s="9"/>
      <c r="U33" s="9"/>
      <c r="V33" s="9"/>
      <c r="W33" s="18"/>
      <c r="AF33" s="10"/>
      <c r="AG33" s="10"/>
      <c r="AH33" s="10"/>
      <c r="AJ33" s="10"/>
      <c r="AK33" s="10"/>
      <c r="AL33" s="10"/>
      <c r="AN33" s="10"/>
      <c r="AO33" s="10"/>
      <c r="AP33" s="10"/>
      <c r="AR33" s="10"/>
      <c r="AS33" s="10"/>
      <c r="AT33" s="10"/>
      <c r="AV33" s="10"/>
      <c r="AW33" s="10"/>
      <c r="AX33" s="10"/>
    </row>
    <row r="34" spans="1:50" ht="15.75" thickBot="1" x14ac:dyDescent="0.3">
      <c r="A34" s="45"/>
      <c r="B34" s="1">
        <v>24</v>
      </c>
      <c r="C34" s="1">
        <v>2025</v>
      </c>
      <c r="D34" s="19"/>
      <c r="E34" s="22"/>
      <c r="F34" s="14"/>
      <c r="G34" s="15"/>
      <c r="H34" s="16"/>
      <c r="I34" s="17"/>
      <c r="J34" s="9"/>
      <c r="K34" s="24"/>
      <c r="L34" s="24"/>
      <c r="M34" s="44"/>
      <c r="N34" s="17"/>
      <c r="O34" s="9"/>
      <c r="P34" s="9"/>
      <c r="Q34" s="9"/>
      <c r="R34" s="21"/>
      <c r="S34" s="17"/>
      <c r="T34" s="9"/>
      <c r="U34" s="9"/>
      <c r="V34" s="9"/>
      <c r="W34" s="18"/>
      <c r="AF34" s="10"/>
      <c r="AG34" s="10"/>
      <c r="AH34" s="10"/>
      <c r="AJ34" s="10"/>
      <c r="AK34" s="10"/>
      <c r="AL34" s="10"/>
      <c r="AN34" s="10"/>
      <c r="AO34" s="10"/>
      <c r="AP34" s="10"/>
      <c r="AR34" s="10"/>
      <c r="AS34" s="10"/>
      <c r="AT34" s="10"/>
      <c r="AV34" s="10"/>
      <c r="AW34" s="10"/>
      <c r="AX34" s="10"/>
    </row>
    <row r="35" spans="1:50" ht="15.75" thickBot="1" x14ac:dyDescent="0.3">
      <c r="A35" s="72" t="s">
        <v>21</v>
      </c>
      <c r="B35" s="1">
        <v>25</v>
      </c>
      <c r="C35" s="1">
        <v>2026</v>
      </c>
      <c r="D35" s="9"/>
      <c r="E35" s="9"/>
      <c r="F35" s="9"/>
      <c r="G35" s="9"/>
      <c r="H35" s="21"/>
      <c r="I35" s="19"/>
      <c r="J35" s="22"/>
      <c r="K35" s="14"/>
      <c r="L35" s="15"/>
      <c r="M35" s="16"/>
      <c r="N35" s="17"/>
      <c r="O35" s="9"/>
      <c r="P35" s="24"/>
      <c r="Q35" s="24"/>
      <c r="R35" s="44"/>
      <c r="S35" s="17"/>
      <c r="T35" s="9"/>
      <c r="U35" s="9"/>
      <c r="V35" s="9"/>
      <c r="W35" s="18"/>
      <c r="AF35" s="10"/>
      <c r="AG35" s="10"/>
      <c r="AH35" s="10"/>
      <c r="AJ35" s="10"/>
      <c r="AK35" s="10"/>
      <c r="AL35" s="10"/>
      <c r="AN35" s="10"/>
      <c r="AO35" s="10"/>
      <c r="AP35" s="10"/>
      <c r="AR35" s="10"/>
      <c r="AS35" s="10"/>
      <c r="AT35" s="10"/>
      <c r="AV35" s="10"/>
      <c r="AW35" s="10"/>
      <c r="AX35" s="10"/>
    </row>
    <row r="36" spans="1:50" ht="15.75" thickBot="1" x14ac:dyDescent="0.3">
      <c r="A36" s="72"/>
      <c r="B36" s="1">
        <v>26</v>
      </c>
      <c r="C36" s="1">
        <v>2027</v>
      </c>
      <c r="D36" s="9"/>
      <c r="E36" s="9"/>
      <c r="F36" s="9"/>
      <c r="G36" s="9"/>
      <c r="H36" s="21"/>
      <c r="I36" s="9"/>
      <c r="J36" s="9"/>
      <c r="K36" s="9"/>
      <c r="L36" s="9"/>
      <c r="M36" s="21"/>
      <c r="N36" s="19"/>
      <c r="O36" s="22"/>
      <c r="P36" s="14"/>
      <c r="Q36" s="15"/>
      <c r="R36" s="16"/>
      <c r="S36" s="17"/>
      <c r="T36" s="9"/>
      <c r="U36" s="24"/>
      <c r="V36" s="24"/>
      <c r="W36" s="20"/>
      <c r="AF36" s="10"/>
      <c r="AG36" s="10"/>
      <c r="AH36" s="10"/>
      <c r="AJ36" s="10"/>
      <c r="AK36" s="10"/>
      <c r="AL36" s="10"/>
      <c r="AN36" s="10"/>
      <c r="AO36" s="10"/>
      <c r="AP36" s="10"/>
      <c r="AR36" s="10"/>
      <c r="AS36" s="10"/>
      <c r="AT36" s="10"/>
      <c r="AV36" s="10"/>
      <c r="AW36" s="10"/>
      <c r="AX36" s="10"/>
    </row>
    <row r="37" spans="1:50" ht="15.75" thickBot="1" x14ac:dyDescent="0.3">
      <c r="A37" s="72"/>
      <c r="B37" s="1">
        <v>27</v>
      </c>
      <c r="C37" s="1">
        <v>2028</v>
      </c>
      <c r="D37" s="9"/>
      <c r="E37" s="9"/>
      <c r="F37" s="9"/>
      <c r="G37" s="9"/>
      <c r="H37" s="21"/>
      <c r="I37" s="9"/>
      <c r="J37" s="9"/>
      <c r="K37" s="9"/>
      <c r="L37" s="9"/>
      <c r="M37" s="9"/>
      <c r="N37" s="9"/>
      <c r="O37" s="9"/>
      <c r="P37" s="9"/>
      <c r="Q37" s="9"/>
      <c r="R37" s="9"/>
      <c r="S37" s="19"/>
      <c r="T37" s="22"/>
      <c r="U37" s="14"/>
      <c r="V37" s="15"/>
      <c r="W37" s="15"/>
      <c r="AF37" s="10"/>
      <c r="AG37" s="10"/>
      <c r="AH37" s="10"/>
      <c r="AJ37" s="10"/>
      <c r="AK37" s="10"/>
      <c r="AL37" s="10"/>
      <c r="AN37" s="10"/>
      <c r="AO37" s="10"/>
      <c r="AP37" s="10"/>
      <c r="AR37" s="10"/>
      <c r="AS37" s="10"/>
      <c r="AT37" s="10"/>
      <c r="AV37" s="10"/>
      <c r="AW37" s="10"/>
      <c r="AX37" s="10"/>
    </row>
    <row r="38" spans="1:50" x14ac:dyDescent="0.25">
      <c r="A38" s="72"/>
      <c r="B38" s="1">
        <v>28</v>
      </c>
      <c r="C38" s="1">
        <v>2029</v>
      </c>
      <c r="D38" s="9"/>
      <c r="E38" s="9"/>
      <c r="F38" s="9"/>
      <c r="G38" s="9"/>
      <c r="H38" s="21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AF38" s="10"/>
      <c r="AG38" s="10"/>
      <c r="AH38" s="10"/>
      <c r="AJ38" s="10"/>
      <c r="AK38" s="10"/>
      <c r="AL38" s="10"/>
      <c r="AN38" s="10"/>
      <c r="AO38" s="10"/>
      <c r="AP38" s="10"/>
      <c r="AR38" s="10"/>
      <c r="AS38" s="10"/>
      <c r="AT38" s="10"/>
      <c r="AV38" s="10"/>
      <c r="AW38" s="10"/>
      <c r="AX38" s="10"/>
    </row>
    <row r="39" spans="1:50" x14ac:dyDescent="0.25">
      <c r="A39" s="72"/>
      <c r="B39" s="1">
        <v>29</v>
      </c>
      <c r="C39" s="1">
        <v>2030</v>
      </c>
      <c r="D39" s="9"/>
      <c r="E39" s="9"/>
      <c r="F39" s="9"/>
      <c r="G39" s="9"/>
      <c r="H39" s="2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AF39" s="10"/>
      <c r="AG39" s="10"/>
      <c r="AH39" s="10"/>
      <c r="AJ39" s="10"/>
      <c r="AK39" s="10"/>
      <c r="AL39" s="10"/>
      <c r="AN39" s="10"/>
      <c r="AO39" s="10"/>
      <c r="AP39" s="10"/>
      <c r="AR39" s="10"/>
      <c r="AS39" s="10"/>
      <c r="AT39" s="10"/>
      <c r="AV39" s="10"/>
      <c r="AW39" s="10"/>
      <c r="AX39" s="10"/>
    </row>
    <row r="40" spans="1:50" x14ac:dyDescent="0.25">
      <c r="A40" s="72"/>
      <c r="B40" s="1">
        <v>30</v>
      </c>
      <c r="C40" s="1">
        <v>2031</v>
      </c>
      <c r="D40" s="9"/>
      <c r="E40" s="9"/>
      <c r="F40" s="9"/>
      <c r="G40" s="9"/>
      <c r="H40" s="2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AF40" s="10"/>
      <c r="AG40" s="10"/>
      <c r="AH40" s="10"/>
      <c r="AJ40" s="10"/>
      <c r="AK40" s="10"/>
      <c r="AL40" s="10"/>
      <c r="AN40" s="10"/>
      <c r="AO40" s="10"/>
      <c r="AP40" s="10"/>
      <c r="AR40" s="10"/>
      <c r="AS40" s="10"/>
      <c r="AT40" s="10"/>
      <c r="AV40" s="10"/>
      <c r="AW40" s="10"/>
      <c r="AX40" s="10"/>
    </row>
    <row r="41" spans="1:50" x14ac:dyDescent="0.25">
      <c r="A41" s="72"/>
      <c r="B41" s="1">
        <v>31</v>
      </c>
      <c r="C41" s="1">
        <v>2032</v>
      </c>
      <c r="D41" s="9"/>
      <c r="E41" s="9"/>
      <c r="F41" s="9"/>
      <c r="G41" s="9"/>
      <c r="H41" s="2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AF41" s="10"/>
      <c r="AG41" s="10"/>
      <c r="AH41" s="10"/>
      <c r="AJ41" s="10"/>
      <c r="AK41" s="10"/>
      <c r="AL41" s="10"/>
      <c r="AN41" s="10"/>
      <c r="AO41" s="10"/>
      <c r="AP41" s="10"/>
      <c r="AR41" s="10"/>
      <c r="AS41" s="10"/>
      <c r="AT41" s="10"/>
      <c r="AV41" s="10"/>
      <c r="AW41" s="10"/>
      <c r="AX41" s="10"/>
    </row>
    <row r="42" spans="1:50" x14ac:dyDescent="0.25">
      <c r="A42" s="72"/>
      <c r="B42" s="1">
        <v>32</v>
      </c>
      <c r="C42" s="1">
        <v>2033</v>
      </c>
      <c r="D42" s="9"/>
      <c r="E42" s="9"/>
      <c r="F42" s="9"/>
      <c r="G42" s="9"/>
      <c r="H42" s="21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AF42" s="10"/>
      <c r="AG42" s="10"/>
      <c r="AH42" s="10"/>
      <c r="AJ42" s="10"/>
      <c r="AK42" s="10"/>
      <c r="AL42" s="10"/>
      <c r="AN42" s="10"/>
      <c r="AO42" s="10"/>
      <c r="AP42" s="10"/>
      <c r="AR42" s="10"/>
      <c r="AS42" s="10"/>
      <c r="AT42" s="10"/>
      <c r="AV42" s="10"/>
      <c r="AW42" s="10"/>
      <c r="AX42" s="10"/>
    </row>
    <row r="43" spans="1:50" x14ac:dyDescent="0.25">
      <c r="A43" s="72"/>
      <c r="B43" s="1">
        <v>33</v>
      </c>
      <c r="C43" s="1">
        <v>2034</v>
      </c>
      <c r="D43" s="9"/>
      <c r="E43" s="9"/>
      <c r="F43" s="9"/>
      <c r="G43" s="9"/>
      <c r="H43" s="2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AF43" s="10"/>
      <c r="AG43" s="10"/>
      <c r="AH43" s="10"/>
      <c r="AJ43" s="10"/>
      <c r="AK43" s="10"/>
      <c r="AL43" s="10"/>
      <c r="AN43" s="10"/>
      <c r="AO43" s="10"/>
      <c r="AP43" s="10"/>
      <c r="AR43" s="10"/>
      <c r="AS43" s="10"/>
      <c r="AT43" s="10"/>
      <c r="AV43" s="10"/>
      <c r="AW43" s="10"/>
      <c r="AX43" s="10"/>
    </row>
    <row r="44" spans="1:50" x14ac:dyDescent="0.25">
      <c r="A44" s="72"/>
      <c r="B44" s="1">
        <v>34</v>
      </c>
      <c r="C44" s="1">
        <v>2035</v>
      </c>
      <c r="D44" s="9"/>
      <c r="E44" s="9"/>
      <c r="F44" s="9"/>
      <c r="G44" s="9"/>
      <c r="H44" s="21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AF44" s="10"/>
      <c r="AG44" s="10"/>
      <c r="AH44" s="10"/>
      <c r="AJ44" s="10"/>
      <c r="AK44" s="10"/>
      <c r="AL44" s="10"/>
      <c r="AN44" s="10"/>
      <c r="AO44" s="10"/>
      <c r="AP44" s="10"/>
      <c r="AR44" s="10"/>
      <c r="AS44" s="10"/>
      <c r="AT44" s="10"/>
      <c r="AV44" s="10"/>
      <c r="AW44" s="10"/>
      <c r="AX44" s="10"/>
    </row>
  </sheetData>
  <mergeCells count="9">
    <mergeCell ref="A35:A44"/>
    <mergeCell ref="A11:A33"/>
    <mergeCell ref="AN8:AP8"/>
    <mergeCell ref="AR8:AT8"/>
    <mergeCell ref="AV8:AX8"/>
    <mergeCell ref="D8:H8"/>
    <mergeCell ref="I8:R8"/>
    <mergeCell ref="AF8:AH8"/>
    <mergeCell ref="AJ8:AL8"/>
  </mergeCells>
  <conditionalFormatting sqref="I2:W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W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W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W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W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W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W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63"/>
  <sheetViews>
    <sheetView topLeftCell="A16" zoomScale="70" zoomScaleNormal="70" workbookViewId="0">
      <selection sqref="A1:A3"/>
    </sheetView>
  </sheetViews>
  <sheetFormatPr defaultColWidth="8.85546875" defaultRowHeight="15" x14ac:dyDescent="0.25"/>
  <sheetData>
    <row r="1" spans="1:1" x14ac:dyDescent="0.25">
      <c r="A1" s="79">
        <v>1</v>
      </c>
    </row>
    <row r="2" spans="1:1" x14ac:dyDescent="0.25">
      <c r="A2" s="79"/>
    </row>
    <row r="3" spans="1:1" x14ac:dyDescent="0.25">
      <c r="A3" s="79"/>
    </row>
    <row r="40" spans="1:1" x14ac:dyDescent="0.25">
      <c r="A40" s="79">
        <v>2</v>
      </c>
    </row>
    <row r="41" spans="1:1" x14ac:dyDescent="0.25">
      <c r="A41" s="79"/>
    </row>
    <row r="42" spans="1:1" x14ac:dyDescent="0.25">
      <c r="A42" s="79"/>
    </row>
    <row r="82" spans="1:1" x14ac:dyDescent="0.25">
      <c r="A82" s="79">
        <v>3</v>
      </c>
    </row>
    <row r="83" spans="1:1" x14ac:dyDescent="0.25">
      <c r="A83" s="79"/>
    </row>
    <row r="84" spans="1:1" x14ac:dyDescent="0.25">
      <c r="A84" s="79"/>
    </row>
    <row r="121" spans="1:1" x14ac:dyDescent="0.25">
      <c r="A121" s="79">
        <v>4</v>
      </c>
    </row>
    <row r="122" spans="1:1" x14ac:dyDescent="0.25">
      <c r="A122" s="79"/>
    </row>
    <row r="123" spans="1:1" x14ac:dyDescent="0.25">
      <c r="A123" s="79"/>
    </row>
    <row r="161" spans="1:1" x14ac:dyDescent="0.25">
      <c r="A161" s="79">
        <v>5</v>
      </c>
    </row>
    <row r="162" spans="1:1" x14ac:dyDescent="0.25">
      <c r="A162" s="79"/>
    </row>
    <row r="163" spans="1:1" x14ac:dyDescent="0.25">
      <c r="A163" s="79"/>
    </row>
  </sheetData>
  <mergeCells count="5">
    <mergeCell ref="A1:A3"/>
    <mergeCell ref="A40:A42"/>
    <mergeCell ref="A82:A84"/>
    <mergeCell ref="A121:A123"/>
    <mergeCell ref="A161:A16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</vt:lpstr>
      <vt:lpstr>AR</vt:lpstr>
      <vt:lpstr>Refl_R</vt:lpstr>
      <vt:lpstr>Итого</vt:lpstr>
      <vt:lpstr>Модель</vt:lpstr>
      <vt:lpstr>Рисунки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HokoriDynasty</cp:lastModifiedBy>
  <dcterms:created xsi:type="dcterms:W3CDTF">2020-03-17T19:37:15Z</dcterms:created>
  <dcterms:modified xsi:type="dcterms:W3CDTF">2026-03-15T16:56:13Z</dcterms:modified>
</cp:coreProperties>
</file>