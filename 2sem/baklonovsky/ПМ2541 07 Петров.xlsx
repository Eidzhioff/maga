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trlProps/ctrlProp1.xml" ContentType="application/vnd.ms-excel.controlproperti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trlProps/ctrlProp2.xml" ContentType="application/vnd.ms-excel.controlproperti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okoriDynasty\Desktop\Uni\maga\2sem\baklonovsky\"/>
    </mc:Choice>
  </mc:AlternateContent>
  <xr:revisionPtr revIDLastSave="0" documentId="13_ncr:1_{3DCDF203-9AAF-4971-8C5C-228A0F6D8C86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Задание" sheetId="13" r:id="rId1"/>
    <sheet name="Статистич" sheetId="20" r:id="rId2"/>
    <sheet name="Норматив" sheetId="19" r:id="rId3"/>
    <sheet name="Степенная" sheetId="18" r:id="rId4"/>
    <sheet name="NPV" sheetId="17" r:id="rId5"/>
    <sheet name="Refl_R" sheetId="11" r:id="rId6"/>
    <sheet name="Рисунки" sheetId="15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6" i="11" l="1"/>
  <c r="D1" i="18" l="1"/>
  <c r="K32" i="11"/>
  <c r="K33" i="11" s="1"/>
  <c r="K34" i="11" s="1"/>
  <c r="K35" i="11" s="1"/>
  <c r="L31" i="11"/>
  <c r="L30" i="11"/>
  <c r="L29" i="11"/>
  <c r="L28" i="11"/>
  <c r="F14" i="11"/>
  <c r="L27" i="11"/>
  <c r="L26" i="11"/>
  <c r="L25" i="11"/>
  <c r="L24" i="11"/>
  <c r="L23" i="11"/>
  <c r="L22" i="11"/>
  <c r="L21" i="11"/>
  <c r="L20" i="11"/>
  <c r="L19" i="11"/>
  <c r="L18" i="11"/>
  <c r="L17" i="11"/>
  <c r="L15" i="11"/>
  <c r="L14" i="11"/>
  <c r="L13" i="11"/>
  <c r="M12" i="11" s="1"/>
  <c r="L12" i="11"/>
  <c r="F17" i="11"/>
  <c r="F18" i="11" l="1"/>
  <c r="M13" i="11"/>
  <c r="M14" i="11"/>
  <c r="M15" i="11"/>
  <c r="F15" i="11"/>
  <c r="F19" i="11"/>
  <c r="F22" i="11"/>
  <c r="F20" i="11"/>
  <c r="F12" i="11"/>
  <c r="F16" i="11"/>
  <c r="F13" i="11"/>
  <c r="F25" i="11"/>
  <c r="M28" i="11"/>
  <c r="M31" i="11"/>
  <c r="F28" i="11"/>
  <c r="M16" i="11"/>
  <c r="F26" i="11"/>
  <c r="M19" i="11"/>
  <c r="M17" i="11"/>
  <c r="M20" i="11"/>
  <c r="M23" i="11"/>
  <c r="M26" i="11"/>
  <c r="M29" i="11"/>
  <c r="F23" i="11"/>
  <c r="F31" i="11"/>
  <c r="M25" i="11"/>
  <c r="F21" i="11"/>
  <c r="F24" i="11"/>
  <c r="F27" i="11"/>
  <c r="F30" i="11"/>
  <c r="M22" i="11"/>
  <c r="F29" i="11"/>
  <c r="M18" i="11"/>
  <c r="M21" i="11"/>
  <c r="M24" i="11"/>
  <c r="M27" i="11"/>
  <c r="M30" i="11"/>
  <c r="X27" i="19" l="1"/>
  <c r="E3" i="20" l="1"/>
  <c r="F3" i="20"/>
  <c r="G3" i="20"/>
  <c r="H3" i="20"/>
  <c r="D3" i="20"/>
  <c r="D2" i="20"/>
  <c r="E2" i="20"/>
  <c r="E31" i="20" s="1" a="1"/>
  <c r="E31" i="20" s="1"/>
  <c r="F2" i="20"/>
  <c r="F30" i="20" s="1" a="1"/>
  <c r="F30" i="20" s="1"/>
  <c r="G2" i="20"/>
  <c r="H2" i="20"/>
  <c r="G22" i="19"/>
  <c r="F22" i="19"/>
  <c r="D20" i="19"/>
  <c r="E20" i="19" s="1"/>
  <c r="C16" i="19"/>
  <c r="C13" i="19"/>
  <c r="R3" i="19"/>
  <c r="R4" i="19"/>
  <c r="R5" i="19"/>
  <c r="R6" i="19"/>
  <c r="R7" i="19"/>
  <c r="R8" i="19"/>
  <c r="R9" i="19"/>
  <c r="R10" i="19"/>
  <c r="R11" i="19"/>
  <c r="R12" i="19"/>
  <c r="R13" i="19"/>
  <c r="R14" i="19"/>
  <c r="R15" i="19"/>
  <c r="R16" i="19"/>
  <c r="R17" i="19"/>
  <c r="R18" i="19"/>
  <c r="R19" i="19"/>
  <c r="R20" i="19"/>
  <c r="R21" i="19"/>
  <c r="R22" i="19"/>
  <c r="R23" i="19"/>
  <c r="R24" i="19"/>
  <c r="R25" i="19"/>
  <c r="R2" i="19"/>
  <c r="V2" i="19"/>
  <c r="V3" i="19"/>
  <c r="V4" i="19"/>
  <c r="V5" i="19"/>
  <c r="V6" i="19"/>
  <c r="V7" i="19"/>
  <c r="V8" i="19"/>
  <c r="V9" i="19"/>
  <c r="V10" i="19"/>
  <c r="V11" i="19"/>
  <c r="V12" i="19"/>
  <c r="V13" i="19"/>
  <c r="V14" i="19"/>
  <c r="V15" i="19"/>
  <c r="V16" i="19"/>
  <c r="V17" i="19"/>
  <c r="V18" i="19"/>
  <c r="V19" i="19"/>
  <c r="V20" i="19"/>
  <c r="V21" i="19"/>
  <c r="V22" i="19"/>
  <c r="V23" i="19"/>
  <c r="V24" i="19"/>
  <c r="X24" i="19"/>
  <c r="X23" i="19"/>
  <c r="X22" i="19"/>
  <c r="X21" i="19"/>
  <c r="X20" i="19"/>
  <c r="X19" i="19"/>
  <c r="X18" i="19"/>
  <c r="X17" i="19"/>
  <c r="X16" i="19"/>
  <c r="X15" i="19"/>
  <c r="X14" i="19"/>
  <c r="X13" i="19"/>
  <c r="X12" i="19"/>
  <c r="X11" i="19"/>
  <c r="X10" i="19"/>
  <c r="X9" i="19"/>
  <c r="X8" i="19"/>
  <c r="X7" i="19"/>
  <c r="X6" i="19"/>
  <c r="X5" i="19"/>
  <c r="X4" i="19"/>
  <c r="X3" i="19"/>
  <c r="P4" i="19"/>
  <c r="P5" i="19"/>
  <c r="P6" i="19"/>
  <c r="P7" i="19"/>
  <c r="P8" i="19"/>
  <c r="P9" i="19"/>
  <c r="P10" i="19"/>
  <c r="P11" i="19"/>
  <c r="P12" i="19"/>
  <c r="P13" i="19"/>
  <c r="P14" i="19"/>
  <c r="P15" i="19"/>
  <c r="P16" i="19"/>
  <c r="P17" i="19"/>
  <c r="P18" i="19"/>
  <c r="P19" i="19"/>
  <c r="P20" i="19"/>
  <c r="P21" i="19"/>
  <c r="P22" i="19"/>
  <c r="P23" i="19"/>
  <c r="P24" i="19"/>
  <c r="P25" i="19"/>
  <c r="P3" i="19"/>
  <c r="P27" i="19" s="1"/>
  <c r="D4" i="18"/>
  <c r="H4" i="18"/>
  <c r="G4" i="18"/>
  <c r="C4" i="18"/>
  <c r="I5" i="17"/>
  <c r="H4" i="17"/>
  <c r="E5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E31" i="17" s="1"/>
  <c r="A32" i="17"/>
  <c r="E32" i="17" s="1"/>
  <c r="A8" i="17"/>
  <c r="A9" i="17"/>
  <c r="D4" i="17"/>
  <c r="E22" i="17" l="1"/>
  <c r="F22" i="17"/>
  <c r="E25" i="17"/>
  <c r="F25" i="17"/>
  <c r="E9" i="17"/>
  <c r="F9" i="17"/>
  <c r="E15" i="17"/>
  <c r="F15" i="17"/>
  <c r="E14" i="17"/>
  <c r="F14" i="17"/>
  <c r="E13" i="17"/>
  <c r="F13" i="17"/>
  <c r="E12" i="17"/>
  <c r="F12" i="17"/>
  <c r="E11" i="17"/>
  <c r="F11" i="17"/>
  <c r="E18" i="17"/>
  <c r="F18" i="17"/>
  <c r="E26" i="17"/>
  <c r="F26" i="17"/>
  <c r="E24" i="17"/>
  <c r="F24" i="17"/>
  <c r="E20" i="17"/>
  <c r="F20" i="17"/>
  <c r="E19" i="17"/>
  <c r="F19" i="17"/>
  <c r="E17" i="17"/>
  <c r="F17" i="17"/>
  <c r="E27" i="17"/>
  <c r="F27" i="17"/>
  <c r="E23" i="17"/>
  <c r="F23" i="17"/>
  <c r="E10" i="17"/>
  <c r="F10" i="17"/>
  <c r="E8" i="17"/>
  <c r="F8" i="17"/>
  <c r="E21" i="17"/>
  <c r="F21" i="17"/>
  <c r="E30" i="17"/>
  <c r="F30" i="17"/>
  <c r="E29" i="17"/>
  <c r="F29" i="17"/>
  <c r="E28" i="17"/>
  <c r="F28" i="17"/>
  <c r="E16" i="17"/>
  <c r="F16" i="17"/>
  <c r="P28" i="19"/>
  <c r="P29" i="19" s="1"/>
  <c r="R27" i="19"/>
  <c r="R28" i="19"/>
  <c r="R29" i="19" s="1"/>
  <c r="F32" i="20" a="1"/>
  <c r="F32" i="20" s="1"/>
  <c r="G33" i="20" s="1" a="1"/>
  <c r="G33" i="20" s="1"/>
  <c r="H34" i="20" s="1" a="1"/>
  <c r="H34" i="20" s="1"/>
  <c r="G31" i="20" a="1"/>
  <c r="G31" i="20" s="1"/>
  <c r="H32" i="20" s="1" a="1"/>
  <c r="H32" i="20" s="1"/>
  <c r="F31" i="20" a="1"/>
  <c r="F31" i="20" s="1"/>
  <c r="G32" i="20" s="1" a="1"/>
  <c r="G32" i="20" s="1"/>
  <c r="H33" i="20" s="1" a="1"/>
  <c r="H33" i="20" s="1"/>
  <c r="G30" i="20" a="1"/>
  <c r="G30" i="20" s="1"/>
  <c r="H31" i="20" s="1" a="1"/>
  <c r="H31" i="20" s="1"/>
  <c r="H30" i="20" a="1"/>
  <c r="H30" i="20" s="1"/>
  <c r="F20" i="19"/>
  <c r="G20" i="19" s="1"/>
  <c r="H20" i="19" s="1"/>
  <c r="I20" i="19" s="1"/>
  <c r="J20" i="19" s="1"/>
  <c r="K20" i="19" s="1"/>
  <c r="L20" i="19" s="1"/>
  <c r="M20" i="19" s="1"/>
  <c r="V28" i="19"/>
  <c r="V27" i="19"/>
  <c r="X28" i="19"/>
  <c r="X29" i="19" s="1"/>
  <c r="E9" i="18"/>
  <c r="E30" i="18"/>
  <c r="E28" i="18"/>
  <c r="E26" i="18"/>
  <c r="E24" i="18"/>
  <c r="E22" i="18"/>
  <c r="E20" i="18"/>
  <c r="E18" i="18"/>
  <c r="E16" i="18"/>
  <c r="E14" i="18"/>
  <c r="E12" i="18"/>
  <c r="F31" i="17"/>
  <c r="F32" i="17"/>
  <c r="V29" i="19" l="1"/>
  <c r="D10" i="19"/>
  <c r="D11" i="19" s="1"/>
  <c r="D7" i="19"/>
  <c r="F4" i="17"/>
  <c r="H7" i="17" s="1"/>
  <c r="D8" i="19" l="1"/>
  <c r="D13" i="19"/>
  <c r="E7" i="19"/>
  <c r="D14" i="19" l="1"/>
  <c r="D16" i="19"/>
  <c r="D17" i="19" s="1"/>
  <c r="E10" i="19" s="1"/>
  <c r="E11" i="19" s="1"/>
  <c r="F7" i="19" s="1"/>
  <c r="E13" i="19"/>
  <c r="E8" i="19"/>
  <c r="E16" i="19" l="1"/>
  <c r="E17" i="19" s="1"/>
  <c r="F10" i="19" s="1"/>
  <c r="F11" i="19" s="1"/>
  <c r="G7" i="19" s="1"/>
  <c r="E14" i="19"/>
  <c r="F13" i="19"/>
  <c r="F8" i="19"/>
  <c r="F16" i="19" l="1"/>
  <c r="F17" i="19" s="1"/>
  <c r="G10" i="19" s="1"/>
  <c r="G11" i="19" s="1"/>
  <c r="H7" i="19" s="1"/>
  <c r="F14" i="19"/>
  <c r="G8" i="19"/>
  <c r="G13" i="19"/>
  <c r="H13" i="19" l="1"/>
  <c r="H8" i="19"/>
  <c r="G14" i="19"/>
  <c r="G16" i="19"/>
  <c r="G17" i="19" s="1"/>
  <c r="H10" i="19" s="1"/>
  <c r="H11" i="19" s="1"/>
  <c r="I7" i="19" s="1"/>
  <c r="I13" i="19" l="1"/>
  <c r="I8" i="19"/>
  <c r="H16" i="19"/>
  <c r="H17" i="19" s="1"/>
  <c r="I10" i="19" s="1"/>
  <c r="I11" i="19" s="1"/>
  <c r="J7" i="19" s="1"/>
  <c r="H14" i="19"/>
  <c r="J13" i="19" l="1"/>
  <c r="J8" i="19"/>
  <c r="I14" i="19"/>
  <c r="I16" i="19"/>
  <c r="I17" i="19" s="1"/>
  <c r="J10" i="19" s="1"/>
  <c r="J11" i="19" s="1"/>
  <c r="K7" i="19" s="1"/>
  <c r="N6" i="13"/>
  <c r="K8" i="19" l="1"/>
  <c r="K13" i="19"/>
  <c r="J16" i="19"/>
  <c r="J17" i="19" s="1"/>
  <c r="K10" i="19" s="1"/>
  <c r="K11" i="19" s="1"/>
  <c r="L7" i="19" s="1"/>
  <c r="J14" i="19"/>
  <c r="L13" i="19" l="1"/>
  <c r="L8" i="19"/>
  <c r="K16" i="19"/>
  <c r="K17" i="19" s="1"/>
  <c r="L10" i="19" s="1"/>
  <c r="L11" i="19" s="1"/>
  <c r="M7" i="19" s="1"/>
  <c r="K14" i="19"/>
  <c r="M8" i="19" l="1"/>
  <c r="M13" i="19"/>
  <c r="D27" i="19"/>
  <c r="G25" i="19" s="1"/>
  <c r="L14" i="19"/>
  <c r="L16" i="19"/>
  <c r="L17" i="19" s="1"/>
  <c r="M10" i="19" s="1"/>
  <c r="M11" i="19" s="1"/>
  <c r="E11" i="18"/>
  <c r="E13" i="18"/>
  <c r="E15" i="18"/>
  <c r="E17" i="18"/>
  <c r="E19" i="18"/>
  <c r="E21" i="18"/>
  <c r="E23" i="18"/>
  <c r="E25" i="18"/>
  <c r="E27" i="18"/>
  <c r="E29" i="18"/>
  <c r="E31" i="18"/>
  <c r="E10" i="18"/>
  <c r="M16" i="19" l="1"/>
  <c r="M17" i="19" s="1"/>
  <c r="M14" i="19"/>
  <c r="E6" i="18"/>
  <c r="H7" i="18" s="1"/>
  <c r="D32" i="20" a="1"/>
  <c r="D32" i="20" s="1"/>
  <c r="E33" i="20" s="1" a="1"/>
  <c r="E33" i="20" s="1"/>
  <c r="F34" i="20" s="1" a="1"/>
  <c r="F34" i="20" s="1"/>
  <c r="G35" i="20" s="1" a="1"/>
  <c r="G35" i="20" s="1"/>
  <c r="H36" i="20" s="1" a="1"/>
  <c r="H36" i="20" s="1"/>
  <c r="D37" i="20" s="1" a="1"/>
  <c r="D37" i="20" s="1"/>
  <c r="E38" i="20" s="1" a="1"/>
  <c r="E38" i="20" s="1"/>
  <c r="F39" i="20" s="1" a="1"/>
  <c r="F39" i="20" s="1"/>
  <c r="G40" i="20" s="1" a="1"/>
  <c r="G40" i="20" s="1"/>
  <c r="D33" i="20" a="1"/>
  <c r="D33" i="20" s="1"/>
  <c r="E34" i="20" s="1" a="1"/>
  <c r="E34" i="20" s="1"/>
  <c r="F35" i="20" s="1" a="1"/>
  <c r="F35" i="20" s="1"/>
  <c r="G36" i="20" s="1" a="1"/>
  <c r="G36" i="20" s="1"/>
  <c r="H37" i="20" s="1" a="1"/>
  <c r="H37" i="20" s="1"/>
  <c r="D38" i="20" s="1" a="1"/>
  <c r="D38" i="20" s="1"/>
  <c r="E39" i="20" s="1" a="1"/>
  <c r="E39" i="20" s="1"/>
  <c r="F40" i="20" s="1" a="1"/>
  <c r="F40" i="20" s="1"/>
  <c r="D34" i="20" a="1"/>
  <c r="D34" i="20" s="1"/>
  <c r="E35" i="20" s="1" a="1"/>
  <c r="E35" i="20" s="1"/>
  <c r="F36" i="20" s="1" a="1"/>
  <c r="F36" i="20" s="1"/>
  <c r="G37" i="20" s="1" a="1"/>
  <c r="G37" i="20" s="1"/>
  <c r="H38" i="20" s="1" a="1"/>
  <c r="H38" i="20" s="1"/>
  <c r="D39" i="20" s="1" a="1"/>
  <c r="D39" i="20" s="1"/>
  <c r="E40" i="20" s="1" a="1"/>
  <c r="E40" i="20" s="1"/>
  <c r="D35" i="20" a="1"/>
  <c r="D35" i="20" s="1"/>
  <c r="E36" i="20" s="1" a="1"/>
  <c r="E36" i="20" s="1"/>
  <c r="F37" i="20" s="1" a="1"/>
  <c r="F37" i="20" s="1"/>
  <c r="G38" i="20" s="1" a="1"/>
  <c r="G38" i="20" s="1"/>
  <c r="H39" i="20" s="1" a="1"/>
  <c r="H39" i="20" s="1"/>
  <c r="D40" i="20" s="1" a="1"/>
  <c r="D40" i="20" s="1"/>
  <c r="D31" i="20" a="1"/>
  <c r="D31" i="20" s="1"/>
  <c r="E32" i="20" s="1" a="1"/>
  <c r="E32" i="20" s="1"/>
  <c r="F33" i="20" s="1" a="1"/>
  <c r="F33" i="20" s="1"/>
  <c r="G34" i="20" s="1" a="1"/>
  <c r="G34" i="20" s="1"/>
  <c r="H35" i="20" s="1" a="1"/>
  <c r="H35" i="20" s="1"/>
  <c r="D36" i="20" s="1" a="1"/>
  <c r="D36" i="20" s="1"/>
  <c r="E37" i="20" s="1" a="1"/>
  <c r="E37" i="20" s="1"/>
  <c r="F38" i="20" s="1" a="1"/>
  <c r="F38" i="20" s="1"/>
  <c r="G39" i="20" s="1" a="1"/>
  <c r="G39" i="20" s="1"/>
  <c r="H40" i="20" s="1" a="1"/>
  <c r="H40" i="20" s="1"/>
  <c r="L34" i="11" l="1"/>
  <c r="M34" i="11"/>
  <c r="J34" i="11" s="1"/>
  <c r="L32" i="11"/>
  <c r="M32" i="11"/>
  <c r="J32" i="11" s="1"/>
  <c r="L33" i="11"/>
  <c r="M33" i="11"/>
  <c r="J33" i="11" s="1"/>
  <c r="F35" i="11" l="1"/>
  <c r="D35" i="11" s="1"/>
  <c r="F33" i="11"/>
  <c r="D33" i="11" s="1"/>
  <c r="F34" i="11"/>
  <c r="D34" i="11" s="1"/>
  <c r="H34" i="11" s="1"/>
  <c r="F32" i="11"/>
  <c r="D32" i="11" s="1"/>
  <c r="L35" i="11" s="1"/>
  <c r="M35" i="11" s="1"/>
  <c r="J35" i="11" s="1"/>
  <c r="H32" i="11" l="1"/>
  <c r="D5" i="11"/>
  <c r="H35" i="11"/>
  <c r="D3" i="11"/>
  <c r="H33" i="11"/>
  <c r="D4" i="11" l="1"/>
</calcChain>
</file>

<file path=xl/sharedStrings.xml><?xml version="1.0" encoding="utf-8"?>
<sst xmlns="http://schemas.openxmlformats.org/spreadsheetml/2006/main" count="278" uniqueCount="174">
  <si>
    <t>Порядок работы:</t>
  </si>
  <si>
    <t>Основная модель</t>
  </si>
  <si>
    <t>(по желанию)</t>
  </si>
  <si>
    <t>Тренировочный пример</t>
  </si>
  <si>
    <t>Вынести в отдельную(ые) ячейку(и) параметры расчёта воздействий для анализа политик:</t>
  </si>
  <si>
    <t xml:space="preserve"> - постоянного относительного воздействия </t>
  </si>
  <si>
    <t xml:space="preserve"> - линейного относительного воздействия </t>
  </si>
  <si>
    <t>dP(t)=dP(0) (%) =const</t>
  </si>
  <si>
    <t>dP(t)=dP(0) + bt (%) ; (dP(0),b)=const</t>
  </si>
  <si>
    <t xml:space="preserve"> - (желающие могут предложить свою политику)</t>
  </si>
  <si>
    <t>Для ряда Z рассчитать цели (критерии оптимизации):</t>
  </si>
  <si>
    <t xml:space="preserve"> - валовый уровень (сумма Z по горизонту) (например, суммарный ВВП)</t>
  </si>
  <si>
    <t xml:space="preserve"> - приведённая стоимость на начало горизонта, задав ставку дисконтирования r на уровне текущей ставки депозита (6-8%) и используя ф.ЧПС (например, дисконтированный ВВП)</t>
  </si>
  <si>
    <t>Рассчитать относительное отклонение прогноза ряда от его базового прогноза (Z/Zбаз)</t>
  </si>
  <si>
    <t>Рассчитать в диапазоне воздействий dP их значения со ссылкой на ячейки параметров</t>
  </si>
  <si>
    <t>Прорешать различные задачи оптимизации (для 3х критериев с задействованием различных параметров). Записать вывод о правдоподобности формального решения.</t>
  </si>
  <si>
    <t>Из пяти входящих в модель рядов выбрать один в качестве цели Z, или составить синтетический целевой показатель, например:</t>
  </si>
  <si>
    <t xml:space="preserve"> - максимизировать ВВП</t>
  </si>
  <si>
    <t xml:space="preserve"> - максимизировать ВДС</t>
  </si>
  <si>
    <t xml:space="preserve"> - максимизировать прибавочную стоимость ВДС+Численность*Зарплата</t>
  </si>
  <si>
    <t xml:space="preserve"> - максимизировать валовую зарплату Численность*Зарплата</t>
  </si>
  <si>
    <t>…</t>
  </si>
  <si>
    <t>Повторить п3-5, применительно к Z этой модели</t>
  </si>
  <si>
    <t>Повторить п6-9, применительно к рядам Р1-Р3, ограничившись одним (для каждого ряда) параметром (политики постоянного воздействия)</t>
  </si>
  <si>
    <t>Рассмотреть более сложные политики в т.ч. Комбинированные (одновременного влияния на несколько рядов)</t>
  </si>
  <si>
    <t>Записать выводы по анализу модели, аналогично п10-11</t>
  </si>
  <si>
    <t>Занятие №</t>
  </si>
  <si>
    <t>группа</t>
  </si>
  <si>
    <t>студент</t>
  </si>
  <si>
    <t>вариант</t>
  </si>
  <si>
    <t>Авторизовать файл:</t>
  </si>
  <si>
    <t xml:space="preserve"> - сохранить файл, дав ему название по шаблону: &lt;Группа_без_тире&gt; &lt;номер_занятия_двумя_цифрами&gt; &lt;ФамилияИО&gt;</t>
  </si>
  <si>
    <t xml:space="preserve"> - исправить внутри файла группу и фамилию</t>
  </si>
  <si>
    <t>Тема:</t>
  </si>
  <si>
    <t>Задачи:</t>
  </si>
  <si>
    <t>Динамическое прогнозирование</t>
  </si>
  <si>
    <r>
      <t xml:space="preserve">Развитие Рефлексивной регрессии - </t>
    </r>
    <r>
      <rPr>
        <b/>
        <i/>
        <sz val="11"/>
        <color theme="1"/>
        <rFont val="Calibri"/>
        <family val="2"/>
        <charset val="204"/>
        <scheme val="minor"/>
      </rPr>
      <t>рис.1</t>
    </r>
  </si>
  <si>
    <t xml:space="preserve">Из двух входящих в модель рядов выбрать один в качестве цели Z, другой в качестве политики Р. Например, целевой ряд - ВВП; ряд политики - Численность </t>
  </si>
  <si>
    <t xml:space="preserve">(т.е. как изменяя Численность, улучшить ВВП) </t>
  </si>
  <si>
    <t xml:space="preserve"> - конечное состояние Z(N+G) (например, конечный ВВП)</t>
  </si>
  <si>
    <t>На рисунке ВВП в 2028г (в периоде 27).</t>
  </si>
  <si>
    <r>
      <t xml:space="preserve">Скопировать в отдельный столбец прогнозные значения ряда Z (как значения), сохранив тем самым </t>
    </r>
    <r>
      <rPr>
        <u/>
        <sz val="11"/>
        <color theme="1"/>
        <rFont val="Calibri"/>
        <family val="2"/>
        <charset val="204"/>
        <scheme val="minor"/>
      </rPr>
      <t>базовый сценарий</t>
    </r>
    <r>
      <rPr>
        <sz val="11"/>
        <color theme="1"/>
        <rFont val="Calibri"/>
        <family val="2"/>
        <charset val="204"/>
        <scheme val="minor"/>
      </rPr>
      <t xml:space="preserve"> Zбаз развития.</t>
    </r>
  </si>
  <si>
    <t xml:space="preserve">Для ряда политики Р в горизонте модели ввести диапазон воздействий dP </t>
  </si>
  <si>
    <t>Например, относительных воздействий, т.е. темпов, в %</t>
  </si>
  <si>
    <t xml:space="preserve">Скорректировать прогноз ряда Р по регрессии путём добавления воздействия dP </t>
  </si>
  <si>
    <t>Если воздействия относительные, надо домножить на темп</t>
  </si>
  <si>
    <t xml:space="preserve">Проверить выполнение требования модели динамического прогнозирования о том, что все переменные являются факторами. </t>
  </si>
  <si>
    <t>Т.е. каждый ряд должен быть использован в качестве фактора хотя бы 1 раз.</t>
  </si>
  <si>
    <t>(В примере файла авторегрессии, Численность и Фонды не были хорошими факторами в модели регрессии, но в динамическом прогнозировании их надо ввести. Поэтому в регрессию ВВП в качестве фактора введены Фонды, а в регрессию Зарплаты - Численность)</t>
  </si>
  <si>
    <t>Рассмотрено в примере</t>
  </si>
  <si>
    <t>В качестве рядов политик (P1-P3) рассмотреть ряды Численности(P1), Зарплаты(P2) и Фондов(P3)</t>
  </si>
  <si>
    <r>
      <t xml:space="preserve">Аналогичное развитие Множественной рефлексивной регрессии - </t>
    </r>
    <r>
      <rPr>
        <b/>
        <i/>
        <sz val="11"/>
        <color theme="1"/>
        <rFont val="Calibri"/>
        <family val="2"/>
        <charset val="204"/>
        <scheme val="minor"/>
      </rPr>
      <t>рис. 2-4</t>
    </r>
  </si>
  <si>
    <t xml:space="preserve"> - Развитие моделей регрессии в модели динамического прогнозирования</t>
  </si>
  <si>
    <t xml:space="preserve"> - Выявление последствий изменения параметров управления на прогнозную динамику</t>
  </si>
  <si>
    <t xml:space="preserve"> В качестве исходных данных взять результат ранее выполненной работы Авторегрессия, листы (парной) рефлексивной регрессии и основной модели (множественной рефлексивной регрессии).</t>
  </si>
  <si>
    <t>(В-ручную, чуть-чуть) менять параметры политики, определяя направление и силу (эластичность) влияния. Записать вывод (кто хочет - на одном листе, кто хочет - дублируя листы)</t>
  </si>
  <si>
    <t>ПМ-2541</t>
  </si>
  <si>
    <t>X1</t>
  </si>
  <si>
    <t>X2</t>
  </si>
  <si>
    <t>№</t>
  </si>
  <si>
    <t>года</t>
  </si>
  <si>
    <t xml:space="preserve"> ВВП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</si>
  <si>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</si>
  <si>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</si>
  <si>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</si>
  <si>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</si>
  <si>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</si>
  <si>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</si>
  <si>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</si>
  <si>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</si>
  <si>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</si>
  <si>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</si>
  <si>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</si>
  <si>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</si>
  <si>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</si>
  <si>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</si>
  <si>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</si>
  <si>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</si>
  <si>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</si>
  <si>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</si>
  <si>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</si>
  <si>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</si>
  <si>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</si>
  <si>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</si>
  <si>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</si>
  <si>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</si>
  <si>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ОФ</t>
  </si>
  <si>
    <t>R</t>
  </si>
  <si>
    <t>2026</t>
  </si>
  <si>
    <t>базовый год</t>
  </si>
  <si>
    <t xml:space="preserve">ставка </t>
  </si>
  <si>
    <t>Текущие цены</t>
  </si>
  <si>
    <t>NPV Х1</t>
  </si>
  <si>
    <t>NPV Х2</t>
  </si>
  <si>
    <t>Y</t>
  </si>
  <si>
    <t>X</t>
  </si>
  <si>
    <t>Кривизна</t>
  </si>
  <si>
    <t>Вверх</t>
  </si>
  <si>
    <t>Вниз</t>
  </si>
  <si>
    <t>степень кривизны k</t>
  </si>
  <si>
    <t>Y^</t>
  </si>
  <si>
    <t>регрессия</t>
  </si>
  <si>
    <t>R^2</t>
  </si>
  <si>
    <t>база</t>
  </si>
  <si>
    <t>горизонт</t>
  </si>
  <si>
    <t>финал</t>
  </si>
  <si>
    <t xml:space="preserve"> ВДС</t>
  </si>
  <si>
    <t>З/п</t>
  </si>
  <si>
    <t xml:space="preserve"> Численность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</si>
  <si>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</si>
  <si>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</si>
  <si>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</si>
  <si>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</si>
  <si>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</si>
  <si>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</si>
  <si>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</si>
  <si>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</si>
  <si>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</si>
  <si>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темп роста</t>
  </si>
  <si>
    <t>мин</t>
  </si>
  <si>
    <t>макс</t>
  </si>
  <si>
    <t>размах</t>
  </si>
  <si>
    <t>Х1</t>
  </si>
  <si>
    <t>Х2</t>
  </si>
  <si>
    <t>З/п руб/чел/мес</t>
  </si>
  <si>
    <t>З/п 
млн руб</t>
  </si>
  <si>
    <t>доля з/п в ВДС</t>
  </si>
  <si>
    <t>доля в ВДС</t>
  </si>
  <si>
    <t>ВДС</t>
  </si>
  <si>
    <t>доля в ВВП</t>
  </si>
  <si>
    <t>Х3</t>
  </si>
  <si>
    <t>доля ВДС в ВВП</t>
  </si>
  <si>
    <t>U</t>
  </si>
  <si>
    <r>
      <t xml:space="preserve">З/п </t>
    </r>
    <r>
      <rPr>
        <b/>
        <sz val="11"/>
        <color rgb="FFFF0000"/>
        <rFont val="Calibri"/>
        <family val="2"/>
        <scheme val="minor"/>
      </rPr>
      <t>+ U</t>
    </r>
  </si>
  <si>
    <t>Политика управления (стимулирование зарплаты): одного параметра (линейная)</t>
  </si>
  <si>
    <t>параметр = прирост</t>
  </si>
  <si>
    <t>Качество пути</t>
  </si>
  <si>
    <r>
      <t xml:space="preserve">Х4 </t>
    </r>
    <r>
      <rPr>
        <sz val="11"/>
        <color rgb="FFFF0000"/>
        <rFont val="Calibri"/>
        <family val="2"/>
        <scheme val="minor"/>
      </rPr>
      <t>= Z</t>
    </r>
  </si>
  <si>
    <r>
      <t xml:space="preserve">NPV </t>
    </r>
    <r>
      <rPr>
        <sz val="11"/>
        <color rgb="FFFF0000"/>
        <rFont val="Calibri"/>
        <family val="2"/>
        <scheme val="minor"/>
      </rPr>
      <t>Z</t>
    </r>
  </si>
  <si>
    <t>св.член</t>
  </si>
  <si>
    <t>искривление</t>
  </si>
  <si>
    <t>вверх</t>
  </si>
  <si>
    <t>вних</t>
  </si>
  <si>
    <t>Петров Г.А</t>
  </si>
  <si>
    <t>лаги запаздывания k1=</t>
  </si>
  <si>
    <t>k2=</t>
  </si>
  <si>
    <t>Конечный ВВП</t>
  </si>
  <si>
    <t>Начальное воздействие dP(0)</t>
  </si>
  <si>
    <t>Суммарный ВВП</t>
  </si>
  <si>
    <t>прирост воздействия b</t>
  </si>
  <si>
    <t>Дисконтированный ВВП</t>
  </si>
  <si>
    <t>по ставке</t>
  </si>
  <si>
    <t>Z</t>
  </si>
  <si>
    <t>P</t>
  </si>
  <si>
    <t>Z баз</t>
  </si>
  <si>
    <t>Z / Z баз</t>
  </si>
  <si>
    <t>dP</t>
  </si>
  <si>
    <t>Y1</t>
  </si>
  <si>
    <t>Y1^</t>
  </si>
  <si>
    <t>Y2^</t>
  </si>
  <si>
    <t>Vt</t>
  </si>
  <si>
    <t>Ct+k</t>
  </si>
  <si>
    <t>f(X1)</t>
  </si>
  <si>
    <t>Vt+k</t>
  </si>
  <si>
    <t>f(X2)</t>
  </si>
  <si>
    <t>год</t>
  </si>
  <si>
    <t>З/П</t>
  </si>
  <si>
    <t>ВВП от З/П</t>
  </si>
  <si>
    <t>ВВП базовый</t>
  </si>
  <si>
    <t>Отклонение от базы</t>
  </si>
  <si>
    <t>Воздействие на З/П</t>
  </si>
  <si>
    <t>ВВП</t>
  </si>
  <si>
    <t>З/П от ВВП</t>
  </si>
  <si>
    <t>Прогноз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</si>
</sst>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₽&quot;;[Red]\-#,##0\ &quot;₽&quot;"/>
    <numFmt numFmtId="164" formatCode="0.0%"/>
    <numFmt numFmtId="165" formatCode="0.0000000"/>
    <numFmt numFmtId="166" formatCode="0.0000%"/>
    <numFmt numFmtId="167" formatCode="0.0"/>
  </numFmts>
  <fonts count="1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1"/>
      <color rgb="FF7030A0"/>
      <name val="Calibri"/>
      <family val="2"/>
      <charset val="204"/>
      <scheme val="minor"/>
    </font>
    <font>
      <sz val="26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3" fillId="0" borderId="0"/>
    <xf numFmtId="9" fontId="9" fillId="0" borderId="0" applyFont="0" applyFill="0" applyBorder="0" applyAlignment="0" applyProtection="0"/>
  </cellStyleXfs>
  <cellXfs count="74">
    <xf numFmtId="0" fontId="0" fillId="0" borderId="0" xfId="0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4" fillId="2" borderId="0" xfId="1" applyFont="1" applyFill="1" applyAlignment="1">
      <alignment horizontal="center"/>
    </xf>
    <xf numFmtId="0" fontId="5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3" fontId="0" fillId="0" borderId="1" xfId="0" applyNumberFormat="1" applyBorder="1"/>
    <xf numFmtId="0" fontId="0" fillId="0" borderId="0" xfId="0" applyAlignment="1">
      <alignment horizontal="right"/>
    </xf>
    <xf numFmtId="0" fontId="0" fillId="4" borderId="1" xfId="0" applyFill="1" applyBorder="1"/>
    <xf numFmtId="0" fontId="0" fillId="5" borderId="1" xfId="0" applyFill="1" applyBorder="1"/>
    <xf numFmtId="9" fontId="0" fillId="5" borderId="1" xfId="0" applyNumberFormat="1" applyFill="1" applyBorder="1"/>
    <xf numFmtId="9" fontId="0" fillId="0" borderId="1" xfId="0" applyNumberFormat="1" applyBorder="1"/>
    <xf numFmtId="164" fontId="0" fillId="0" borderId="1" xfId="2" applyNumberFormat="1" applyFont="1" applyBorder="1"/>
    <xf numFmtId="10" fontId="0" fillId="0" borderId="1" xfId="2" applyNumberFormat="1" applyFont="1" applyBorder="1"/>
    <xf numFmtId="10" fontId="0" fillId="0" borderId="0" xfId="2" applyNumberFormat="1" applyFont="1"/>
    <xf numFmtId="10" fontId="0" fillId="7" borderId="1" xfId="2" applyNumberFormat="1" applyFont="1" applyFill="1" applyBorder="1"/>
    <xf numFmtId="9" fontId="0" fillId="7" borderId="1" xfId="2" applyNumberFormat="1" applyFont="1" applyFill="1" applyBorder="1"/>
    <xf numFmtId="9" fontId="0" fillId="0" borderId="1" xfId="2" applyNumberFormat="1" applyFont="1" applyBorder="1"/>
    <xf numFmtId="10" fontId="11" fillId="0" borderId="0" xfId="2" applyNumberFormat="1" applyFont="1"/>
    <xf numFmtId="10" fontId="0" fillId="5" borderId="1" xfId="0" applyNumberFormat="1" applyFill="1" applyBorder="1"/>
    <xf numFmtId="10" fontId="0" fillId="0" borderId="1" xfId="0" applyNumberFormat="1" applyBorder="1" applyAlignment="1">
      <alignment horizontal="center"/>
    </xf>
    <xf numFmtId="0" fontId="1" fillId="0" borderId="5" xfId="0" applyFont="1" applyFill="1" applyBorder="1" applyAlignment="1">
      <alignment horizontal="center" wrapText="1"/>
    </xf>
    <xf numFmtId="10" fontId="0" fillId="0" borderId="0" xfId="0" applyNumberFormat="1" applyBorder="1" applyAlignment="1">
      <alignment horizontal="center"/>
    </xf>
    <xf numFmtId="9" fontId="0" fillId="6" borderId="1" xfId="0" applyNumberFormat="1" applyFill="1" applyBorder="1"/>
    <xf numFmtId="2" fontId="0" fillId="0" borderId="1" xfId="0" applyNumberFormat="1" applyBorder="1"/>
    <xf numFmtId="0" fontId="10" fillId="0" borderId="0" xfId="0" applyFont="1" applyAlignment="1">
      <alignment horizontal="center"/>
    </xf>
    <xf numFmtId="0" fontId="0" fillId="0" borderId="1" xfId="0" applyFill="1" applyBorder="1"/>
    <xf numFmtId="6" fontId="0" fillId="7" borderId="1" xfId="0" applyNumberFormat="1" applyFill="1" applyBorder="1"/>
    <xf numFmtId="10" fontId="0" fillId="7" borderId="1" xfId="0" applyNumberFormat="1" applyFill="1" applyBorder="1"/>
    <xf numFmtId="165" fontId="0" fillId="0" borderId="1" xfId="0" applyNumberFormat="1" applyBorder="1"/>
    <xf numFmtId="166" fontId="0" fillId="0" borderId="1" xfId="0" applyNumberFormat="1" applyBorder="1"/>
    <xf numFmtId="0" fontId="0" fillId="5" borderId="1" xfId="0" applyFill="1" applyBorder="1" applyAlignment="1">
      <alignment horizontal="center"/>
    </xf>
    <xf numFmtId="167" fontId="0" fillId="0" borderId="0" xfId="0" applyNumberFormat="1" applyAlignment="1">
      <alignment horizontal="center"/>
    </xf>
    <xf numFmtId="3" fontId="0" fillId="4" borderId="1" xfId="0" applyNumberFormat="1" applyFill="1" applyBorder="1"/>
    <xf numFmtId="0" fontId="10" fillId="5" borderId="1" xfId="0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3" fontId="0" fillId="8" borderId="1" xfId="0" applyNumberFormat="1" applyFill="1" applyBorder="1"/>
    <xf numFmtId="10" fontId="10" fillId="9" borderId="1" xfId="0" applyNumberFormat="1" applyFont="1" applyFill="1" applyBorder="1" applyAlignment="1">
      <alignment horizontal="center"/>
    </xf>
    <xf numFmtId="9" fontId="0" fillId="9" borderId="1" xfId="0" applyNumberFormat="1" applyFill="1" applyBorder="1"/>
    <xf numFmtId="0" fontId="14" fillId="0" borderId="1" xfId="0" applyFont="1" applyBorder="1" applyAlignment="1">
      <alignment horizontal="center"/>
    </xf>
    <xf numFmtId="0" fontId="14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 wrapText="1"/>
    </xf>
    <xf numFmtId="0" fontId="14" fillId="0" borderId="1" xfId="0" applyFont="1" applyFill="1" applyBorder="1" applyAlignment="1">
      <alignment horizontal="center" wrapText="1"/>
    </xf>
    <xf numFmtId="0" fontId="1" fillId="0" borderId="6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1" fontId="0" fillId="0" borderId="1" xfId="0" applyNumberFormat="1" applyFill="1" applyBorder="1"/>
    <xf numFmtId="0" fontId="0" fillId="0" borderId="1" xfId="0" applyNumberFormat="1" applyFill="1" applyBorder="1"/>
    <xf numFmtId="3" fontId="0" fillId="0" borderId="1" xfId="0" applyNumberFormat="1" applyFill="1" applyBorder="1"/>
    <xf numFmtId="3" fontId="0" fillId="0" borderId="2" xfId="0" applyNumberFormat="1" applyFill="1" applyBorder="1"/>
    <xf numFmtId="3" fontId="0" fillId="0" borderId="0" xfId="0" applyNumberFormat="1" applyFill="1" applyBorder="1"/>
    <xf numFmtId="3" fontId="10" fillId="0" borderId="1" xfId="0" applyNumberFormat="1" applyFont="1" applyFill="1" applyBorder="1"/>
    <xf numFmtId="10" fontId="10" fillId="0" borderId="1" xfId="2" applyNumberFormat="1" applyFont="1" applyFill="1" applyBorder="1"/>
    <xf numFmtId="0" fontId="1" fillId="0" borderId="0" xfId="0" applyFont="1" applyBorder="1" applyAlignment="1">
      <alignment vertical="center" textRotation="90"/>
    </xf>
  </cellXfs>
  <cellStyles count="3">
    <cellStyle name="Обычный" xfId="0" builtinId="0"/>
    <cellStyle name="Обычный 2" xfId="1" xr:uid="{00000000-0005-0000-0000-000001000000}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Статистич!$D$6</c:f>
              <c:strCache>
                <c:ptCount val="1"/>
                <c:pt idx="0">
                  <c:v> ВВП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Статистич!$D$7:$D$40</c:f>
              <c:numCache>
                <c:formatCode>#,##0</c:formatCode>
                <c:ptCount val="34"/>
                <c:pt idx="0">
                  <c:v>1523670.1312683504</c:v>
                </c:pt>
                <c:pt idx="1">
                  <c:v>1899714.2822209885</c:v>
                </c:pt>
                <c:pt idx="2">
                  <c:v>2271976.8034374709</c:v>
                </c:pt>
                <c:pt idx="3">
                  <c:v>2745199.6299384595</c:v>
                </c:pt>
                <c:pt idx="4">
                  <c:v>3476075.5445336094</c:v>
                </c:pt>
                <c:pt idx="5">
                  <c:v>4183589.0473623835</c:v>
                </c:pt>
                <c:pt idx="6">
                  <c:v>5380452.4239379605</c:v>
                </c:pt>
                <c:pt idx="7">
                  <c:v>5857652.2365358304</c:v>
                </c:pt>
                <c:pt idx="8">
                  <c:v>6511019.5831007604</c:v>
                </c:pt>
                <c:pt idx="9">
                  <c:v>7448243.4494492188</c:v>
                </c:pt>
                <c:pt idx="10">
                  <c:v>8915955.3337932099</c:v>
                </c:pt>
                <c:pt idx="11">
                  <c:v>10017461.84195617</c:v>
                </c:pt>
                <c:pt idx="12">
                  <c:v>9925208.0999999996</c:v>
                </c:pt>
                <c:pt idx="13">
                  <c:v>10706582.1</c:v>
                </c:pt>
                <c:pt idx="14">
                  <c:v>11852881.700000001</c:v>
                </c:pt>
                <c:pt idx="15">
                  <c:v>12766002.800000001</c:v>
                </c:pt>
                <c:pt idx="16">
                  <c:v>13515794</c:v>
                </c:pt>
                <c:pt idx="17">
                  <c:v>13615271.9</c:v>
                </c:pt>
                <c:pt idx="18">
                  <c:v>14544325.699999999</c:v>
                </c:pt>
                <c:pt idx="19">
                  <c:v>16406490.399999999</c:v>
                </c:pt>
                <c:pt idx="20">
                  <c:v>19738622.600000001</c:v>
                </c:pt>
                <c:pt idx="21">
                  <c:v>24340433.200000003</c:v>
                </c:pt>
                <c:pt idx="22">
                  <c:v>29177253.5</c:v>
                </c:pt>
                <c:pt idx="23">
                  <c:v>32463740.899999999</c:v>
                </c:pt>
                <c:pt idx="24">
                  <c:v>27575610.813263915</c:v>
                </c:pt>
                <c:pt idx="25">
                  <c:v>34250360.80364354</c:v>
                </c:pt>
                <c:pt idx="26">
                  <c:v>39580820.624836996</c:v>
                </c:pt>
                <c:pt idx="27">
                  <c:v>44214454.513821036</c:v>
                </c:pt>
                <c:pt idx="28">
                  <c:v>51268181.456471279</c:v>
                </c:pt>
                <c:pt idx="29">
                  <c:v>43348329.941400081</c:v>
                </c:pt>
                <c:pt idx="30">
                  <c:v>54188867.130594358</c:v>
                </c:pt>
                <c:pt idx="31">
                  <c:v>62975984.717234418</c:v>
                </c:pt>
                <c:pt idx="32">
                  <c:v>70694496.940875039</c:v>
                </c:pt>
                <c:pt idx="33">
                  <c:v>82569108.991454899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5D-483B-BF01-EE2164997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483888"/>
        <c:axId val="191475984"/>
      </c:lineChart>
      <c:catAx>
        <c:axId val="191483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475984"/>
        <c:crosses val="autoZero"/>
        <c:auto val="1"/>
        <c:lblAlgn val="ctr"/>
        <c:lblOffset val="100"/>
        <c:noMultiLvlLbl val="0"/>
      </c:catAx>
      <c:valAx>
        <c:axId val="19147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483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Статистич!$E$6</c:f>
              <c:strCache>
                <c:ptCount val="1"/>
                <c:pt idx="0">
                  <c:v> ВДС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Статистич!$E$7:$E$40</c:f>
              <c:numCache>
                <c:formatCode>#,##0</c:formatCode>
                <c:ptCount val="34"/>
                <c:pt idx="0">
                  <c:v>854871.14703622425</c:v>
                </c:pt>
                <c:pt idx="1">
                  <c:v>1139219.2493035407</c:v>
                </c:pt>
                <c:pt idx="2">
                  <c:v>1403738.508618192</c:v>
                </c:pt>
                <c:pt idx="3">
                  <c:v>1677617.7878271635</c:v>
                </c:pt>
                <c:pt idx="4">
                  <c:v>2080056.4881224297</c:v>
                </c:pt>
                <c:pt idx="5">
                  <c:v>2564917.6229515877</c:v>
                </c:pt>
                <c:pt idx="6">
                  <c:v>3296150.8327038502</c:v>
                </c:pt>
                <c:pt idx="7">
                  <c:v>3853809.5568073275</c:v>
                </c:pt>
                <c:pt idx="8">
                  <c:v>4239214.9484877475</c:v>
                </c:pt>
                <c:pt idx="9">
                  <c:v>4675803.1769923167</c:v>
                </c:pt>
                <c:pt idx="10">
                  <c:v>5864573.2429680433</c:v>
                </c:pt>
                <c:pt idx="11">
                  <c:v>6696500.3734088941</c:v>
                </c:pt>
                <c:pt idx="12">
                  <c:v>6933386.9000000004</c:v>
                </c:pt>
                <c:pt idx="13">
                  <c:v>7504676.2999999998</c:v>
                </c:pt>
                <c:pt idx="14">
                  <c:v>8005749.4000000004</c:v>
                </c:pt>
                <c:pt idx="15">
                  <c:v>8435287.0999999996</c:v>
                </c:pt>
                <c:pt idx="16">
                  <c:v>8889867.7000000011</c:v>
                </c:pt>
                <c:pt idx="17">
                  <c:v>9318440.1999999993</c:v>
                </c:pt>
                <c:pt idx="18">
                  <c:v>9987984.4000000004</c:v>
                </c:pt>
                <c:pt idx="19">
                  <c:v>12989466.85</c:v>
                </c:pt>
                <c:pt idx="20">
                  <c:v>15127767.050000001</c:v>
                </c:pt>
                <c:pt idx="21">
                  <c:v>16660493.5</c:v>
                </c:pt>
                <c:pt idx="22">
                  <c:v>20267549.700000003</c:v>
                </c:pt>
                <c:pt idx="23">
                  <c:v>22639157.185240481</c:v>
                </c:pt>
                <c:pt idx="24">
                  <c:v>26210773.700060327</c:v>
                </c:pt>
                <c:pt idx="25">
                  <c:v>22197497.463480271</c:v>
                </c:pt>
                <c:pt idx="26">
                  <c:v>27677633.025786921</c:v>
                </c:pt>
                <c:pt idx="27">
                  <c:v>32054072.963113718</c:v>
                </c:pt>
                <c:pt idx="28">
                  <c:v>35858401.498913527</c:v>
                </c:pt>
                <c:pt idx="29">
                  <c:v>41649686.553924203</c:v>
                </c:pt>
                <c:pt idx="30">
                  <c:v>35147291.707902201</c:v>
                </c:pt>
                <c:pt idx="31">
                  <c:v>44047642.05070696</c:v>
                </c:pt>
                <c:pt idx="32">
                  <c:v>51262083.886898883</c:v>
                </c:pt>
                <c:pt idx="33">
                  <c:v>57599174.172802739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3F-4EB1-B851-F9572978A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483888"/>
        <c:axId val="191475984"/>
      </c:lineChart>
      <c:catAx>
        <c:axId val="191483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475984"/>
        <c:crosses val="autoZero"/>
        <c:auto val="1"/>
        <c:lblAlgn val="ctr"/>
        <c:lblOffset val="100"/>
        <c:noMultiLvlLbl val="0"/>
      </c:catAx>
      <c:valAx>
        <c:axId val="19147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483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Статистич!$F$6</c:f>
              <c:strCache>
                <c:ptCount val="1"/>
                <c:pt idx="0">
                  <c:v>ОФ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Статистич!$F$7:$F$40</c:f>
              <c:numCache>
                <c:formatCode>#,##0</c:formatCode>
                <c:ptCount val="34"/>
                <c:pt idx="0">
                  <c:v>663998.76369988162</c:v>
                </c:pt>
                <c:pt idx="1">
                  <c:v>884858.70150511106</c:v>
                </c:pt>
                <c:pt idx="2">
                  <c:v>1090317.1051120984</c:v>
                </c:pt>
                <c:pt idx="3">
                  <c:v>1303045.6589160857</c:v>
                </c:pt>
                <c:pt idx="4">
                  <c:v>1615629.3744707303</c:v>
                </c:pt>
                <c:pt idx="5">
                  <c:v>1992232.5563758044</c:v>
                </c:pt>
                <c:pt idx="6">
                  <c:v>2560198.7919133157</c:v>
                </c:pt>
                <c:pt idx="7">
                  <c:v>2993345.5938084461</c:v>
                </c:pt>
                <c:pt idx="8">
                  <c:v>3292699.1332117636</c:v>
                </c:pt>
                <c:pt idx="9">
                  <c:v>3631807.6</c:v>
                </c:pt>
                <c:pt idx="10">
                  <c:v>6188755.7403909471</c:v>
                </c:pt>
                <c:pt idx="11">
                  <c:v>7066670.2263727253</c:v>
                </c:pt>
                <c:pt idx="12">
                  <c:v>7517411.2509606024</c:v>
                </c:pt>
                <c:pt idx="13">
                  <c:v>7806214.914021723</c:v>
                </c:pt>
                <c:pt idx="14">
                  <c:v>8342022.5787704289</c:v>
                </c:pt>
                <c:pt idx="15">
                  <c:v>8435287.0999999996</c:v>
                </c:pt>
                <c:pt idx="16">
                  <c:v>8889867.7000000011</c:v>
                </c:pt>
                <c:pt idx="17">
                  <c:v>9438926.0500000007</c:v>
                </c:pt>
                <c:pt idx="18">
                  <c:v>9987984.4000000004</c:v>
                </c:pt>
                <c:pt idx="19">
                  <c:v>10979479.5</c:v>
                </c:pt>
                <c:pt idx="20">
                  <c:v>13819986.5</c:v>
                </c:pt>
                <c:pt idx="21">
                  <c:v>16660493.5</c:v>
                </c:pt>
                <c:pt idx="22">
                  <c:v>20267549.700000003</c:v>
                </c:pt>
                <c:pt idx="23">
                  <c:v>23756392.110197999</c:v>
                </c:pt>
                <c:pt idx="24">
                  <c:v>26789154.567377307</c:v>
                </c:pt>
                <c:pt idx="25">
                  <c:v>31405893.560443111</c:v>
                </c:pt>
                <c:pt idx="26">
                  <c:v>26222266.861224346</c:v>
                </c:pt>
                <c:pt idx="27">
                  <c:v>33317513.268413611</c:v>
                </c:pt>
                <c:pt idx="28">
                  <c:v>39068774.797067739</c:v>
                </c:pt>
                <c:pt idx="29">
                  <c:v>44120622.797572859</c:v>
                </c:pt>
                <c:pt idx="30">
                  <c:v>51892682.153877236</c:v>
                </c:pt>
                <c:pt idx="31">
                  <c:v>43172895.853570499</c:v>
                </c:pt>
                <c:pt idx="32">
                  <c:v>55136797.190179683</c:v>
                </c:pt>
                <c:pt idx="33">
                  <c:v>64978475.149084516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2C-4554-AB1D-AC725C3AC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483888"/>
        <c:axId val="191475984"/>
      </c:lineChart>
      <c:catAx>
        <c:axId val="191483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475984"/>
        <c:crosses val="autoZero"/>
        <c:auto val="1"/>
        <c:lblAlgn val="ctr"/>
        <c:lblOffset val="100"/>
        <c:noMultiLvlLbl val="0"/>
      </c:catAx>
      <c:valAx>
        <c:axId val="19147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483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Статистич!$G$6</c:f>
              <c:strCache>
                <c:ptCount val="1"/>
                <c:pt idx="0">
                  <c:v>З/п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Статистич!$G$7:$G$40</c:f>
              <c:numCache>
                <c:formatCode>#,##0</c:formatCode>
                <c:ptCount val="34"/>
                <c:pt idx="0">
                  <c:v>7124.9668564346994</c:v>
                </c:pt>
                <c:pt idx="1">
                  <c:v>9472.4628590143511</c:v>
                </c:pt>
                <c:pt idx="2">
                  <c:v>10821.718177877687</c:v>
                </c:pt>
                <c:pt idx="3">
                  <c:v>15014.027631766721</c:v>
                </c:pt>
                <c:pt idx="4">
                  <c:v>18464.986503774206</c:v>
                </c:pt>
                <c:pt idx="5">
                  <c:v>23149.291880697179</c:v>
                </c:pt>
                <c:pt idx="6">
                  <c:v>29243.136120380714</c:v>
                </c:pt>
                <c:pt idx="7">
                  <c:v>32827.12981312503</c:v>
                </c:pt>
                <c:pt idx="8">
                  <c:v>34417.519307577262</c:v>
                </c:pt>
                <c:pt idx="9">
                  <c:v>38027.270514532211</c:v>
                </c:pt>
                <c:pt idx="10">
                  <c:v>48913.793502099419</c:v>
                </c:pt>
                <c:pt idx="11">
                  <c:v>55417.97686444701</c:v>
                </c:pt>
                <c:pt idx="12">
                  <c:v>58446.402896956672</c:v>
                </c:pt>
                <c:pt idx="13">
                  <c:v>57428.570061473758</c:v>
                </c:pt>
                <c:pt idx="14">
                  <c:v>59750.30854984279</c:v>
                </c:pt>
                <c:pt idx="15">
                  <c:v>71121.2</c:v>
                </c:pt>
                <c:pt idx="16">
                  <c:v>79509</c:v>
                </c:pt>
                <c:pt idx="17">
                  <c:v>84992.9</c:v>
                </c:pt>
                <c:pt idx="18">
                  <c:v>91586</c:v>
                </c:pt>
                <c:pt idx="19">
                  <c:v>97845.4</c:v>
                </c:pt>
                <c:pt idx="20">
                  <c:v>108572.5</c:v>
                </c:pt>
                <c:pt idx="21">
                  <c:v>124522.3</c:v>
                </c:pt>
                <c:pt idx="22">
                  <c:v>145843.40000000002</c:v>
                </c:pt>
                <c:pt idx="23">
                  <c:v>185918.31503667688</c:v>
                </c:pt>
                <c:pt idx="24">
                  <c:v>217922.16907594982</c:v>
                </c:pt>
                <c:pt idx="25">
                  <c:v>245742.30985721399</c:v>
                </c:pt>
                <c:pt idx="26">
                  <c:v>288092.58639581886</c:v>
                </c:pt>
                <c:pt idx="27">
                  <c:v>240542.13476436766</c:v>
                </c:pt>
                <c:pt idx="28">
                  <c:v>305628.25895404525</c:v>
                </c:pt>
                <c:pt idx="29">
                  <c:v>358385.73919067386</c:v>
                </c:pt>
                <c:pt idx="30">
                  <c:v>404727.35828019393</c:v>
                </c:pt>
                <c:pt idx="31">
                  <c:v>476022.02395401977</c:v>
                </c:pt>
                <c:pt idx="32">
                  <c:v>396033.6681621538</c:v>
                </c:pt>
                <c:pt idx="33">
                  <c:v>505780.94450742536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97-4106-B1C3-D001204E6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483888"/>
        <c:axId val="191475984"/>
      </c:lineChart>
      <c:catAx>
        <c:axId val="191483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475984"/>
        <c:crosses val="autoZero"/>
        <c:auto val="1"/>
        <c:lblAlgn val="ctr"/>
        <c:lblOffset val="100"/>
        <c:noMultiLvlLbl val="0"/>
      </c:catAx>
      <c:valAx>
        <c:axId val="19147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483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Статистич!$H$6</c:f>
              <c:strCache>
                <c:ptCount val="1"/>
                <c:pt idx="0">
                  <c:v> Численность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Статистич!$H$7:$H$40</c:f>
              <c:numCache>
                <c:formatCode>#,##0</c:formatCode>
                <c:ptCount val="34"/>
                <c:pt idx="0">
                  <c:v>3013.1797778016089</c:v>
                </c:pt>
                <c:pt idx="1">
                  <c:v>3063.7503642895449</c:v>
                </c:pt>
                <c:pt idx="2">
                  <c:v>3114.3209507774804</c:v>
                </c:pt>
                <c:pt idx="3">
                  <c:v>3164.8915372654155</c:v>
                </c:pt>
                <c:pt idx="4">
                  <c:v>3262.6488048257374</c:v>
                </c:pt>
                <c:pt idx="5">
                  <c:v>3415.8645222520108</c:v>
                </c:pt>
                <c:pt idx="6">
                  <c:v>3564.3803710455763</c:v>
                </c:pt>
                <c:pt idx="7">
                  <c:v>3721.2849999999999</c:v>
                </c:pt>
                <c:pt idx="8">
                  <c:v>3722.31</c:v>
                </c:pt>
                <c:pt idx="9">
                  <c:v>3588.8969999999999</c:v>
                </c:pt>
                <c:pt idx="10">
                  <c:v>3517.73</c:v>
                </c:pt>
                <c:pt idx="11">
                  <c:v>3511.3829999999998</c:v>
                </c:pt>
                <c:pt idx="12">
                  <c:v>3511.895</c:v>
                </c:pt>
                <c:pt idx="13">
                  <c:v>3506.1019999999999</c:v>
                </c:pt>
                <c:pt idx="14">
                  <c:v>3420.6927000000001</c:v>
                </c:pt>
                <c:pt idx="15">
                  <c:v>4608.7519299999994</c:v>
                </c:pt>
                <c:pt idx="16">
                  <c:v>4690.2311</c:v>
                </c:pt>
                <c:pt idx="17">
                  <c:v>4692.8642</c:v>
                </c:pt>
                <c:pt idx="18">
                  <c:v>4732.6019299999998</c:v>
                </c:pt>
                <c:pt idx="19">
                  <c:v>4651.6728800000001</c:v>
                </c:pt>
                <c:pt idx="20">
                  <c:v>4634.6379999999999</c:v>
                </c:pt>
                <c:pt idx="21">
                  <c:v>4624.0249999999996</c:v>
                </c:pt>
                <c:pt idx="22">
                  <c:v>4571.1329999999998</c:v>
                </c:pt>
                <c:pt idx="23">
                  <c:v>5337.055011337914</c:v>
                </c:pt>
                <c:pt idx="24">
                  <c:v>5964.4447314548288</c:v>
                </c:pt>
                <c:pt idx="25">
                  <c:v>6465.4785829298889</c:v>
                </c:pt>
                <c:pt idx="26">
                  <c:v>6901.0146364036482</c:v>
                </c:pt>
                <c:pt idx="27">
                  <c:v>7564.0261018081801</c:v>
                </c:pt>
                <c:pt idx="28">
                  <c:v>6819.6036990860302</c:v>
                </c:pt>
                <c:pt idx="29">
                  <c:v>7838.5544617135893</c:v>
                </c:pt>
                <c:pt idx="30">
                  <c:v>8664.4950963834108</c:v>
                </c:pt>
                <c:pt idx="31">
                  <c:v>9389.9927151239535</c:v>
                </c:pt>
                <c:pt idx="32">
                  <c:v>10506.140816797875</c:v>
                </c:pt>
                <c:pt idx="33">
                  <c:v>9253.8893246376974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A2-497F-AC1B-BD35FC05C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483888"/>
        <c:axId val="191475984"/>
      </c:lineChart>
      <c:catAx>
        <c:axId val="191483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475984"/>
        <c:crosses val="autoZero"/>
        <c:auto val="1"/>
        <c:lblAlgn val="ctr"/>
        <c:lblOffset val="100"/>
        <c:noMultiLvlLbl val="0"/>
      </c:catAx>
      <c:valAx>
        <c:axId val="19147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483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Норматив!$V$1</c:f>
              <c:strCache>
                <c:ptCount val="1"/>
                <c:pt idx="0">
                  <c:v>доля з/п в ВДС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Норматив!$V$2:$V$24</c:f>
              <c:numCache>
                <c:formatCode>0.0%</c:formatCode>
                <c:ptCount val="23"/>
                <c:pt idx="0">
                  <c:v>8.3345506292222381E-3</c:v>
                </c:pt>
                <c:pt idx="1">
                  <c:v>8.3148725452149106E-3</c:v>
                </c:pt>
                <c:pt idx="2">
                  <c:v>7.7092123008938021E-3</c:v>
                </c:pt>
                <c:pt idx="3">
                  <c:v>8.9496116104090459E-3</c:v>
                </c:pt>
                <c:pt idx="4">
                  <c:v>8.8771562739825838E-3</c:v>
                </c:pt>
                <c:pt idx="5">
                  <c:v>9.025354917269449E-3</c:v>
                </c:pt>
                <c:pt idx="6">
                  <c:v>8.8719047169308115E-3</c:v>
                </c:pt>
                <c:pt idx="7">
                  <c:v>8.5180986058689748E-3</c:v>
                </c:pt>
                <c:pt idx="8">
                  <c:v>8.1188426927620173E-3</c:v>
                </c:pt>
                <c:pt idx="9">
                  <c:v>8.1327782789593454E-3</c:v>
                </c:pt>
                <c:pt idx="10">
                  <c:v>8.3405546278665435E-3</c:v>
                </c:pt>
                <c:pt idx="11">
                  <c:v>8.2756624765535775E-3</c:v>
                </c:pt>
                <c:pt idx="12">
                  <c:v>8.4297045210266087E-3</c:v>
                </c:pt>
                <c:pt idx="13">
                  <c:v>7.6523713702979779E-3</c:v>
                </c:pt>
                <c:pt idx="14">
                  <c:v>7.463424791918017E-3</c:v>
                </c:pt>
                <c:pt idx="15">
                  <c:v>8.4313905569378903E-3</c:v>
                </c:pt>
                <c:pt idx="16">
                  <c:v>8.9437776447449258E-3</c:v>
                </c:pt>
                <c:pt idx="17">
                  <c:v>9.1209363558506281E-3</c:v>
                </c:pt>
                <c:pt idx="18">
                  <c:v>9.1696178460190618E-3</c:v>
                </c:pt>
                <c:pt idx="19">
                  <c:v>7.5326725207355213E-3</c:v>
                </c:pt>
                <c:pt idx="20">
                  <c:v>7.1770341016719977E-3</c:v>
                </c:pt>
                <c:pt idx="21">
                  <c:v>7.4741063342451414E-3</c:v>
                </c:pt>
                <c:pt idx="22">
                  <c:v>7.1959068638672193E-3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5E-4210-B426-886F5B81A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472656"/>
        <c:axId val="191473904"/>
      </c:lineChart>
      <c:catAx>
        <c:axId val="191472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473904"/>
        <c:crosses val="autoZero"/>
        <c:auto val="1"/>
        <c:lblAlgn val="ctr"/>
        <c:lblOffset val="100"/>
        <c:noMultiLvlLbl val="0"/>
      </c:catAx>
      <c:valAx>
        <c:axId val="19147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472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Норматив!$R$1</c:f>
              <c:strCache>
                <c:ptCount val="1"/>
                <c:pt idx="0">
                  <c:v>доля ВДС в ВВП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Норматив!$R$2:$R$25</c:f>
              <c:numCache>
                <c:formatCode>0.0%</c:formatCode>
                <c:ptCount val="24"/>
                <c:pt idx="0">
                  <c:v>0.56106051401335988</c:v>
                </c:pt>
                <c:pt idx="1">
                  <c:v>0.5996792570152496</c:v>
                </c:pt>
                <c:pt idx="2">
                  <c:v>0.61784896152740387</c:v>
                </c:pt>
                <c:pt idx="3">
                  <c:v>0.61110957816381883</c:v>
                </c:pt>
                <c:pt idx="4">
                  <c:v>0.59839219875226102</c:v>
                </c:pt>
                <c:pt idx="5">
                  <c:v>0.61309024235271981</c:v>
                </c:pt>
                <c:pt idx="6">
                  <c:v>0.61261592390243513</c:v>
                </c:pt>
                <c:pt idx="7">
                  <c:v>0.6579102686858106</c:v>
                </c:pt>
                <c:pt idx="8">
                  <c:v>0.65108312060534379</c:v>
                </c:pt>
                <c:pt idx="9">
                  <c:v>0.62777260285954828</c:v>
                </c:pt>
                <c:pt idx="10">
                  <c:v>0.65776162210460687</c:v>
                </c:pt>
                <c:pt idx="11">
                  <c:v>0.66848274333942737</c:v>
                </c:pt>
                <c:pt idx="12">
                  <c:v>0.69856337823284542</c:v>
                </c:pt>
                <c:pt idx="13">
                  <c:v>0.70094043364221714</c:v>
                </c:pt>
                <c:pt idx="14">
                  <c:v>0.67542641550197868</c:v>
                </c:pt>
                <c:pt idx="15">
                  <c:v>0.66076180870021417</c:v>
                </c:pt>
                <c:pt idx="16">
                  <c:v>0.65773921236147881</c:v>
                </c:pt>
                <c:pt idx="17">
                  <c:v>0.68441087834610181</c:v>
                </c:pt>
                <c:pt idx="18">
                  <c:v>0.68672722311217227</c:v>
                </c:pt>
                <c:pt idx="19">
                  <c:v>0.79172733066664891</c:v>
                </c:pt>
                <c:pt idx="20">
                  <c:v>0.76640439186470888</c:v>
                </c:pt>
                <c:pt idx="21">
                  <c:v>0.68447810123609465</c:v>
                </c:pt>
                <c:pt idx="22">
                  <c:v>0.6946352815558875</c:v>
                </c:pt>
                <c:pt idx="23">
                  <c:v>0.69736748007499294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AE-4CA1-8767-28028D2C7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479728"/>
        <c:axId val="191483472"/>
      </c:lineChart>
      <c:catAx>
        <c:axId val="191479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483472"/>
        <c:crosses val="autoZero"/>
        <c:auto val="1"/>
        <c:lblAlgn val="ctr"/>
        <c:lblOffset val="100"/>
        <c:noMultiLvlLbl val="0"/>
      </c:catAx>
      <c:valAx>
        <c:axId val="19148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479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Норматив!$B$7</c:f>
              <c:strCache>
                <c:ptCount val="1"/>
                <c:pt idx="0">
                  <c:v> ВВП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Норматив!$C$7:$M$7</c:f>
              <c:numCache>
                <c:formatCode>0.00</c:formatCode>
                <c:ptCount val="11"/>
                <c:pt idx="0" formatCode="General">
                  <c:v>100</c:v>
                </c:pt>
                <c:pt idx="1">
                  <c:v>101.84133055604309</c:v>
                </c:pt>
                <c:pt idx="2">
                  <c:v>3011.0961813652684</c:v>
                </c:pt>
                <c:pt idx="3">
                  <c:v>4290.1443144765208</c:v>
                </c:pt>
                <c:pt idx="4">
                  <c:v>4435.1041327450848</c:v>
                </c:pt>
                <c:pt idx="5">
                  <c:v>4520.7861696832888</c:v>
                </c:pt>
                <c:pt idx="6">
                  <c:v>133798.28878878895</c:v>
                </c:pt>
                <c:pt idx="7">
                  <c:v>198008.79595047457</c:v>
                </c:pt>
                <c:pt idx="8">
                  <c:v>205150.47905972518</c:v>
                </c:pt>
                <c:pt idx="9">
                  <c:v>209123.17759989644</c:v>
                </c:pt>
                <c:pt idx="10">
                  <c:v>6189516.7906909976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77-45D5-9BBC-BC5F32ECD781}"/>
            </c:ext>
          </c:extLst>
        </c:ser>
        <c:ser>
          <c:idx val="1"/>
          <c:order val="1"/>
          <c:tx>
            <c:strRef>
              <c:f>Норматив!$B$10</c:f>
              <c:strCache>
                <c:ptCount val="1"/>
                <c:pt idx="0">
                  <c:v> Численность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Норматив!$C$10:$M$10</c:f>
              <c:numCache>
                <c:formatCode>0.00</c:formatCode>
                <c:ptCount val="11"/>
                <c:pt idx="0" formatCode="General">
                  <c:v>100</c:v>
                </c:pt>
                <c:pt idx="1">
                  <c:v>3804.2369059906846</c:v>
                </c:pt>
                <c:pt idx="2">
                  <c:v>5810.1164829236004</c:v>
                </c:pt>
                <c:pt idx="3">
                  <c:v>5926.031986501047</c:v>
                </c:pt>
                <c:pt idx="4">
                  <c:v>5932.9965660293947</c:v>
                </c:pt>
                <c:pt idx="5">
                  <c:v>225933.88165332892</c:v>
                </c:pt>
                <c:pt idx="6">
                  <c:v>361224.16554698127</c:v>
                </c:pt>
                <c:pt idx="7">
                  <c:v>369498.74417255883</c:v>
                </c:pt>
                <c:pt idx="8">
                  <c:v>369954.92970521876</c:v>
                </c:pt>
                <c:pt idx="9">
                  <c:v>14088807.005030457</c:v>
                </c:pt>
                <c:pt idx="10">
                  <c:v>22564348.983038049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77-45D5-9BBC-BC5F32ECD781}"/>
            </c:ext>
          </c:extLst>
        </c:ser>
        <c:ser>
          <c:idx val="2"/>
          <c:order val="2"/>
          <c:tx>
            <c:strRef>
              <c:f>Норматив!$B$13</c:f>
              <c:strCache>
                <c:ptCount val="1"/>
                <c:pt idx="0">
                  <c:v>ВДС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Норматив!$C$13:$M$13</c:f>
              <c:numCache>
                <c:formatCode>0.00</c:formatCode>
                <c:ptCount val="11"/>
                <c:pt idx="0" formatCode="General">
                  <c:v>50</c:v>
                </c:pt>
                <c:pt idx="1">
                  <c:v>57.871771291043487</c:v>
                </c:pt>
                <c:pt idx="2">
                  <c:v>1754.3780545455211</c:v>
                </c:pt>
                <c:pt idx="3">
                  <c:v>98170.351712090021</c:v>
                </c:pt>
                <c:pt idx="4">
                  <c:v>3991.8869090699782</c:v>
                </c:pt>
                <c:pt idx="5">
                  <c:v>2688.2777261998945</c:v>
                </c:pt>
                <c:pt idx="6">
                  <c:v>78050.587965406085</c:v>
                </c:pt>
                <c:pt idx="7">
                  <c:v>4535581.8936933167</c:v>
                </c:pt>
                <c:pt idx="8">
                  <c:v>193483.18712892773</c:v>
                </c:pt>
                <c:pt idx="9">
                  <c:v>124726.93764394421</c:v>
                </c:pt>
                <c:pt idx="10">
                  <c:v>3610846.0046348618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77-45D5-9BBC-BC5F32ECD781}"/>
            </c:ext>
          </c:extLst>
        </c:ser>
        <c:ser>
          <c:idx val="3"/>
          <c:order val="3"/>
          <c:tx>
            <c:strRef>
              <c:f>Норматив!$B$16</c:f>
              <c:strCache>
                <c:ptCount val="1"/>
                <c:pt idx="0">
                  <c:v>З/п + 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Норматив!$C$16:$M$16</c:f>
              <c:numCache>
                <c:formatCode>0.00</c:formatCode>
                <c:ptCount val="11"/>
                <c:pt idx="0" formatCode="General">
                  <c:v>10</c:v>
                </c:pt>
                <c:pt idx="1">
                  <c:v>0.58482246386733161</c:v>
                </c:pt>
                <c:pt idx="2">
                  <c:v>13.100252222522276</c:v>
                </c:pt>
                <c:pt idx="3">
                  <c:v>723.47006007526829</c:v>
                </c:pt>
                <c:pt idx="4">
                  <c:v>799.17738181399579</c:v>
                </c:pt>
                <c:pt idx="5">
                  <c:v>28.16635707397478</c:v>
                </c:pt>
                <c:pt idx="6">
                  <c:v>584.01758929540404</c:v>
                </c:pt>
                <c:pt idx="7">
                  <c:v>33426.539544473002</c:v>
                </c:pt>
                <c:pt idx="8">
                  <c:v>38737.012710063143</c:v>
                </c:pt>
                <c:pt idx="9">
                  <c:v>1308.6231113861832</c:v>
                </c:pt>
                <c:pt idx="10">
                  <c:v>27020.343281135352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77-45D5-9BBC-BC5F32ECD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472240"/>
        <c:axId val="191480144"/>
      </c:lineChart>
      <c:catAx>
        <c:axId val="191472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480144"/>
        <c:crosses val="autoZero"/>
        <c:auto val="1"/>
        <c:lblAlgn val="ctr"/>
        <c:lblOffset val="100"/>
        <c:noMultiLvlLbl val="0"/>
      </c:catAx>
      <c:valAx>
        <c:axId val="19148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47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Степенная!$D$7:$D$8</c:f>
              <c:strCache>
                <c:ptCount val="2"/>
                <c:pt idx="0">
                  <c:v>Y</c:v>
                </c:pt>
                <c:pt idx="1">
                  <c:v> ВВП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Степенная!$C$9:$C$31</c:f>
              <c:numCache>
                <c:formatCode>#,##0</c:formatCode>
                <c:ptCount val="23"/>
                <c:pt idx="0">
                  <c:v>663998.76369988162</c:v>
                </c:pt>
                <c:pt idx="1">
                  <c:v>884858.70150511106</c:v>
                </c:pt>
                <c:pt idx="2">
                  <c:v>1090317.1051120984</c:v>
                </c:pt>
                <c:pt idx="3">
                  <c:v>1303045.6589160857</c:v>
                </c:pt>
                <c:pt idx="4">
                  <c:v>1615629.3744707303</c:v>
                </c:pt>
                <c:pt idx="5">
                  <c:v>1992232.5563758044</c:v>
                </c:pt>
                <c:pt idx="6">
                  <c:v>2560198.7919133157</c:v>
                </c:pt>
                <c:pt idx="7">
                  <c:v>2993345.5938084461</c:v>
                </c:pt>
                <c:pt idx="8">
                  <c:v>3292699.1332117636</c:v>
                </c:pt>
                <c:pt idx="9">
                  <c:v>3631807.6</c:v>
                </c:pt>
                <c:pt idx="10">
                  <c:v>6188755.7403909471</c:v>
                </c:pt>
                <c:pt idx="11">
                  <c:v>7066670.2263727253</c:v>
                </c:pt>
                <c:pt idx="12">
                  <c:v>7517411.2509606024</c:v>
                </c:pt>
                <c:pt idx="13">
                  <c:v>7806214.914021723</c:v>
                </c:pt>
                <c:pt idx="14">
                  <c:v>8342022.5787704289</c:v>
                </c:pt>
                <c:pt idx="15">
                  <c:v>8435287.0999999996</c:v>
                </c:pt>
                <c:pt idx="16">
                  <c:v>8889867.7000000011</c:v>
                </c:pt>
                <c:pt idx="17">
                  <c:v>9438926.0500000007</c:v>
                </c:pt>
                <c:pt idx="18">
                  <c:v>9987984.4000000004</c:v>
                </c:pt>
                <c:pt idx="19">
                  <c:v>10979479.5</c:v>
                </c:pt>
                <c:pt idx="20">
                  <c:v>13819986.5</c:v>
                </c:pt>
                <c:pt idx="21">
                  <c:v>16660493.5</c:v>
                </c:pt>
                <c:pt idx="22">
                  <c:v>20267549.700000003</c:v>
                </c:pt>
              </c:numCache>
            </c:numRef>
          </c:xVal>
          <c:yVal>
            <c:numRef>
              <c:f>Степенная!$D$9:$D$31</c:f>
              <c:numCache>
                <c:formatCode>#,##0</c:formatCode>
                <c:ptCount val="23"/>
                <c:pt idx="0">
                  <c:v>1523670.1312683504</c:v>
                </c:pt>
                <c:pt idx="1">
                  <c:v>1899714.2822209885</c:v>
                </c:pt>
                <c:pt idx="2">
                  <c:v>2271976.8034374709</c:v>
                </c:pt>
                <c:pt idx="3">
                  <c:v>2745199.6299384595</c:v>
                </c:pt>
                <c:pt idx="4">
                  <c:v>3476075.5445336094</c:v>
                </c:pt>
                <c:pt idx="5">
                  <c:v>4183589.0473623835</c:v>
                </c:pt>
                <c:pt idx="6">
                  <c:v>5380452.4239379605</c:v>
                </c:pt>
                <c:pt idx="7">
                  <c:v>5857652.2365358304</c:v>
                </c:pt>
                <c:pt idx="8">
                  <c:v>6511019.5831007604</c:v>
                </c:pt>
                <c:pt idx="9">
                  <c:v>7448243.4494492188</c:v>
                </c:pt>
                <c:pt idx="10">
                  <c:v>8915955.3337932099</c:v>
                </c:pt>
                <c:pt idx="11">
                  <c:v>10017461.84195617</c:v>
                </c:pt>
                <c:pt idx="12">
                  <c:v>9925208.0999999996</c:v>
                </c:pt>
                <c:pt idx="13">
                  <c:v>10706582.1</c:v>
                </c:pt>
                <c:pt idx="14">
                  <c:v>11852881.700000001</c:v>
                </c:pt>
                <c:pt idx="15">
                  <c:v>12766002.800000001</c:v>
                </c:pt>
                <c:pt idx="16">
                  <c:v>13515794</c:v>
                </c:pt>
                <c:pt idx="17">
                  <c:v>13615271.9</c:v>
                </c:pt>
                <c:pt idx="18">
                  <c:v>14544325.699999999</c:v>
                </c:pt>
                <c:pt idx="19">
                  <c:v>16406490.399999999</c:v>
                </c:pt>
                <c:pt idx="20">
                  <c:v>19738622.600000001</c:v>
                </c:pt>
                <c:pt idx="21">
                  <c:v>24340433.200000003</c:v>
                </c:pt>
                <c:pt idx="22">
                  <c:v>29177253.5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94-47B0-84F6-AA6E26DCEF27}"/>
            </c:ext>
          </c:extLst>
        </c:ser>
        <c:ser>
          <c:idx val="1"/>
          <c:order val="1"/>
          <c:tx>
            <c:strRef>
              <c:f>Степенная!$E$7:$E$8</c:f>
              <c:strCache>
                <c:ptCount val="2"/>
                <c:pt idx="0">
                  <c:v>Y^</c:v>
                </c:pt>
                <c:pt idx="1">
                  <c:v>регрессия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4151087674956282"/>
                  <c:y val="-1.754494451819630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Степенная!$C$9:$C$31</c:f>
              <c:numCache>
                <c:formatCode>#,##0</c:formatCode>
                <c:ptCount val="23"/>
                <c:pt idx="0">
                  <c:v>663998.76369988162</c:v>
                </c:pt>
                <c:pt idx="1">
                  <c:v>884858.70150511106</c:v>
                </c:pt>
                <c:pt idx="2">
                  <c:v>1090317.1051120984</c:v>
                </c:pt>
                <c:pt idx="3">
                  <c:v>1303045.6589160857</c:v>
                </c:pt>
                <c:pt idx="4">
                  <c:v>1615629.3744707303</c:v>
                </c:pt>
                <c:pt idx="5">
                  <c:v>1992232.5563758044</c:v>
                </c:pt>
                <c:pt idx="6">
                  <c:v>2560198.7919133157</c:v>
                </c:pt>
                <c:pt idx="7">
                  <c:v>2993345.5938084461</c:v>
                </c:pt>
                <c:pt idx="8">
                  <c:v>3292699.1332117636</c:v>
                </c:pt>
                <c:pt idx="9">
                  <c:v>3631807.6</c:v>
                </c:pt>
                <c:pt idx="10">
                  <c:v>6188755.7403909471</c:v>
                </c:pt>
                <c:pt idx="11">
                  <c:v>7066670.2263727253</c:v>
                </c:pt>
                <c:pt idx="12">
                  <c:v>7517411.2509606024</c:v>
                </c:pt>
                <c:pt idx="13">
                  <c:v>7806214.914021723</c:v>
                </c:pt>
                <c:pt idx="14">
                  <c:v>8342022.5787704289</c:v>
                </c:pt>
                <c:pt idx="15">
                  <c:v>8435287.0999999996</c:v>
                </c:pt>
                <c:pt idx="16">
                  <c:v>8889867.7000000011</c:v>
                </c:pt>
                <c:pt idx="17">
                  <c:v>9438926.0500000007</c:v>
                </c:pt>
                <c:pt idx="18">
                  <c:v>9987984.4000000004</c:v>
                </c:pt>
                <c:pt idx="19">
                  <c:v>10979479.5</c:v>
                </c:pt>
                <c:pt idx="20">
                  <c:v>13819986.5</c:v>
                </c:pt>
                <c:pt idx="21">
                  <c:v>16660493.5</c:v>
                </c:pt>
                <c:pt idx="22">
                  <c:v>20267549.700000003</c:v>
                </c:pt>
              </c:numCache>
            </c:numRef>
          </c:xVal>
          <c:yVal>
            <c:numRef>
              <c:f>Степенная!$E$9:$E$31</c:f>
              <c:numCache>
                <c:formatCode>#,##0</c:formatCode>
                <c:ptCount val="23"/>
                <c:pt idx="0">
                  <c:v>2178306.6757331211</c:v>
                </c:pt>
                <c:pt idx="1">
                  <c:v>2462355.9928206885</c:v>
                </c:pt>
                <c:pt idx="2">
                  <c:v>2725939.0392631404</c:v>
                </c:pt>
                <c:pt idx="3">
                  <c:v>2998691.9934166931</c:v>
                </c:pt>
                <c:pt idx="4">
                  <c:v>3399754.4609846282</c:v>
                </c:pt>
                <c:pt idx="5">
                  <c:v>3883986.6172764599</c:v>
                </c:pt>
                <c:pt idx="6">
                  <c:v>4617205.7537447214</c:v>
                </c:pt>
                <c:pt idx="7">
                  <c:v>5179056.6735167932</c:v>
                </c:pt>
                <c:pt idx="8">
                  <c:v>5568768.261528749</c:v>
                </c:pt>
                <c:pt idx="9">
                  <c:v>6011634.4049066035</c:v>
                </c:pt>
                <c:pt idx="10">
                  <c:v>9397067.0831110924</c:v>
                </c:pt>
                <c:pt idx="11">
                  <c:v>10576980.761914995</c:v>
                </c:pt>
                <c:pt idx="12">
                  <c:v>11185996.825418802</c:v>
                </c:pt>
                <c:pt idx="13">
                  <c:v>11577324.996570691</c:v>
                </c:pt>
                <c:pt idx="14">
                  <c:v>12305589.061858334</c:v>
                </c:pt>
                <c:pt idx="15">
                  <c:v>12432646.319003768</c:v>
                </c:pt>
                <c:pt idx="16">
                  <c:v>13053155.448996868</c:v>
                </c:pt>
                <c:pt idx="17">
                  <c:v>13805273.014900396</c:v>
                </c:pt>
                <c:pt idx="18">
                  <c:v>14560205.823988281</c:v>
                </c:pt>
                <c:pt idx="19">
                  <c:v>15930353.093783371</c:v>
                </c:pt>
                <c:pt idx="20">
                  <c:v>19901410.323732622</c:v>
                </c:pt>
                <c:pt idx="21">
                  <c:v>23934108.383224774</c:v>
                </c:pt>
                <c:pt idx="22">
                  <c:v>29134065.297838807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94-47B0-84F6-AA6E26DCE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36096"/>
        <c:axId val="90438592"/>
      </c:scatterChart>
      <c:valAx>
        <c:axId val="9043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438592"/>
        <c:crosses val="autoZero"/>
        <c:crossBetween val="midCat"/>
      </c:valAx>
      <c:valAx>
        <c:axId val="9043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436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NPV!$E$5</c:f>
          <c:strCache>
            <c:ptCount val="1"/>
            <c:pt idx="0">
              <c:v>Цены 2012 года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NPV!$C$6:$C$7</c:f>
              <c:strCache>
                <c:ptCount val="2"/>
                <c:pt idx="0">
                  <c:v>X1</c:v>
                </c:pt>
                <c:pt idx="1">
                  <c:v> ВВП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NPV!$C$8:$C$31</c:f>
              <c:numCache>
                <c:formatCode>#,##0</c:formatCode>
                <c:ptCount val="24"/>
                <c:pt idx="0">
                  <c:v>1523670.1312683504</c:v>
                </c:pt>
                <c:pt idx="1">
                  <c:v>1899714.2822209885</c:v>
                </c:pt>
                <c:pt idx="2">
                  <c:v>2271976.8034374709</c:v>
                </c:pt>
                <c:pt idx="3">
                  <c:v>2745199.6299384595</c:v>
                </c:pt>
                <c:pt idx="4">
                  <c:v>3476075.5445336094</c:v>
                </c:pt>
                <c:pt idx="5">
                  <c:v>4183589.0473623835</c:v>
                </c:pt>
                <c:pt idx="6">
                  <c:v>5380452.4239379605</c:v>
                </c:pt>
                <c:pt idx="7">
                  <c:v>5857652.2365358304</c:v>
                </c:pt>
                <c:pt idx="8">
                  <c:v>6511019.5831007604</c:v>
                </c:pt>
                <c:pt idx="9">
                  <c:v>7448243.4494492188</c:v>
                </c:pt>
                <c:pt idx="10">
                  <c:v>8915955.3337932099</c:v>
                </c:pt>
                <c:pt idx="11">
                  <c:v>10017461.84195617</c:v>
                </c:pt>
                <c:pt idx="12">
                  <c:v>9925208.0999999996</c:v>
                </c:pt>
                <c:pt idx="13">
                  <c:v>10706582.1</c:v>
                </c:pt>
                <c:pt idx="14">
                  <c:v>11852881.700000001</c:v>
                </c:pt>
                <c:pt idx="15">
                  <c:v>12766002.800000001</c:v>
                </c:pt>
                <c:pt idx="16">
                  <c:v>13515794</c:v>
                </c:pt>
                <c:pt idx="17">
                  <c:v>13615271.9</c:v>
                </c:pt>
                <c:pt idx="18">
                  <c:v>14544325.699999999</c:v>
                </c:pt>
                <c:pt idx="19">
                  <c:v>16406490.399999999</c:v>
                </c:pt>
                <c:pt idx="20">
                  <c:v>19738622.600000001</c:v>
                </c:pt>
                <c:pt idx="21">
                  <c:v>24340433.200000003</c:v>
                </c:pt>
                <c:pt idx="22">
                  <c:v>29177253.5</c:v>
                </c:pt>
                <c:pt idx="23">
                  <c:v>32463740.899999999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51-4C37-A5A3-D15552BFDF54}"/>
            </c:ext>
          </c:extLst>
        </c:ser>
        <c:ser>
          <c:idx val="1"/>
          <c:order val="1"/>
          <c:tx>
            <c:strRef>
              <c:f>NPV!$E$6:$E$7</c:f>
              <c:strCache>
                <c:ptCount val="2"/>
                <c:pt idx="0">
                  <c:v>NPV Х1</c:v>
                </c:pt>
                <c:pt idx="1">
                  <c:v> ВВП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NPV!$E$8:$E$31</c:f>
              <c:numCache>
                <c:formatCode>#,##0</c:formatCode>
                <c:ptCount val="24"/>
                <c:pt idx="0">
                  <c:v>761835.0656341752</c:v>
                </c:pt>
                <c:pt idx="1">
                  <c:v>1044842.8552215438</c:v>
                </c:pt>
                <c:pt idx="2">
                  <c:v>1363186.0820624826</c:v>
                </c:pt>
                <c:pt idx="3">
                  <c:v>1784379.7594599985</c:v>
                </c:pt>
                <c:pt idx="4">
                  <c:v>2433252.8811735264</c:v>
                </c:pt>
                <c:pt idx="5">
                  <c:v>3137691.7855217876</c:v>
                </c:pt>
                <c:pt idx="6">
                  <c:v>4304361.9391503688</c:v>
                </c:pt>
                <c:pt idx="7">
                  <c:v>4979004.4010554561</c:v>
                </c:pt>
                <c:pt idx="8">
                  <c:v>5859917.6247906843</c:v>
                </c:pt>
                <c:pt idx="9">
                  <c:v>7075831.2769767577</c:v>
                </c:pt>
                <c:pt idx="10">
                  <c:v>8915955.3337932099</c:v>
                </c:pt>
                <c:pt idx="11">
                  <c:v>9540439.8494820669</c:v>
                </c:pt>
                <c:pt idx="12">
                  <c:v>9002456.3265306111</c:v>
                </c:pt>
                <c:pt idx="13">
                  <c:v>9248748.1697440874</c:v>
                </c:pt>
                <c:pt idx="14">
                  <c:v>9751395.1080054101</c:v>
                </c:pt>
                <c:pt idx="15">
                  <c:v>10002497.235009614</c:v>
                </c:pt>
                <c:pt idx="16">
                  <c:v>10085693.580568952</c:v>
                </c:pt>
                <c:pt idx="17">
                  <c:v>9676119.5439752657</c:v>
                </c:pt>
                <c:pt idx="18">
                  <c:v>9844172.1279254388</c:v>
                </c:pt>
                <c:pt idx="19">
                  <c:v>10575769.995681694</c:v>
                </c:pt>
                <c:pt idx="20">
                  <c:v>12117802.020779163</c:v>
                </c:pt>
                <c:pt idx="21">
                  <c:v>14231347.179431921</c:v>
                </c:pt>
                <c:pt idx="22">
                  <c:v>16246986.508452162</c:v>
                </c:pt>
                <c:pt idx="23">
                  <c:v>17216214.921086892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51-4C37-A5A3-D15552BFD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357600"/>
        <c:axId val="229353024"/>
      </c:lineChart>
      <c:catAx>
        <c:axId val="2293576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9353024"/>
        <c:crosses val="autoZero"/>
        <c:auto val="1"/>
        <c:lblAlgn val="ctr"/>
        <c:lblOffset val="100"/>
        <c:noMultiLvlLbl val="0"/>
      </c:catAx>
      <c:valAx>
        <c:axId val="22935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935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2" fmlaLink="$F$1" max="100" page="10" val="18"/>
</file>

<file path=xl/ctrlProps/ctrlProp2.xml><?xml version="1.0" encoding="utf-8"?>
<formControlPr xmlns="http://schemas.microsoft.com/office/spreadsheetml/2009/9/main" objectType="Spin" dx="22" fmlaLink="$F$1" max="2030" min="2002" page="10" val="2012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86591</xdr:colOff>
      <xdr:row>0</xdr:row>
      <xdr:rowOff>173193</xdr:rowOff>
    </xdr:from>
    <xdr:to>
      <xdr:col>16</xdr:col>
      <xdr:colOff>311727</xdr:colOff>
      <xdr:row>21</xdr:row>
      <xdr:rowOff>34637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398318</xdr:colOff>
      <xdr:row>1</xdr:row>
      <xdr:rowOff>0</xdr:rowOff>
    </xdr:from>
    <xdr:to>
      <xdr:col>24</xdr:col>
      <xdr:colOff>17319</xdr:colOff>
      <xdr:row>21</xdr:row>
      <xdr:rowOff>51944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86590</xdr:colOff>
      <xdr:row>21</xdr:row>
      <xdr:rowOff>103909</xdr:rowOff>
    </xdr:from>
    <xdr:to>
      <xdr:col>16</xdr:col>
      <xdr:colOff>311726</xdr:colOff>
      <xdr:row>42</xdr:row>
      <xdr:rowOff>155853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21</xdr:row>
      <xdr:rowOff>121227</xdr:rowOff>
    </xdr:from>
    <xdr:to>
      <xdr:col>24</xdr:col>
      <xdr:colOff>1</xdr:colOff>
      <xdr:row>42</xdr:row>
      <xdr:rowOff>173171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86590</xdr:colOff>
      <xdr:row>1</xdr:row>
      <xdr:rowOff>36801</xdr:rowOff>
    </xdr:from>
    <xdr:to>
      <xdr:col>31</xdr:col>
      <xdr:colOff>311727</xdr:colOff>
      <xdr:row>21</xdr:row>
      <xdr:rowOff>88745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0.74031</cdr:x>
      <cdr:y>0.02136</cdr:y>
    </cdr:from>
    <cdr:to>
      <cdr:x>0.74419</cdr:x>
      <cdr:y>0.9188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0B9A33D6-EEA6-49A5-8A2D-94F3D7DF3F2D}"/>
            </a:ext>
          </a:extLst>
        </cdr:cNvPr>
        <cdr:cNvCxnSpPr/>
      </cdr:nvCxnSpPr>
      <cdr:spPr>
        <a:xfrm xmlns:a="http://schemas.openxmlformats.org/drawingml/2006/main" flipV="1">
          <a:off x="3307773" y="86580"/>
          <a:ext cx="17318" cy="3636818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0.74031</cdr:x>
      <cdr:y>0.02136</cdr:y>
    </cdr:from>
    <cdr:to>
      <cdr:x>0.74419</cdr:x>
      <cdr:y>0.9188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AC391FD8-1E54-44C2-A317-26B37EE16D7E}"/>
            </a:ext>
          </a:extLst>
        </cdr:cNvPr>
        <cdr:cNvCxnSpPr/>
      </cdr:nvCxnSpPr>
      <cdr:spPr>
        <a:xfrm xmlns:a="http://schemas.openxmlformats.org/drawingml/2006/main" flipV="1">
          <a:off x="3307773" y="86580"/>
          <a:ext cx="17318" cy="3636818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0.74031</cdr:x>
      <cdr:y>0.02136</cdr:y>
    </cdr:from>
    <cdr:to>
      <cdr:x>0.74419</cdr:x>
      <cdr:y>0.9188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BEF25509-C613-401D-800A-7FBB4C076158}"/>
            </a:ext>
          </a:extLst>
        </cdr:cNvPr>
        <cdr:cNvCxnSpPr/>
      </cdr:nvCxnSpPr>
      <cdr:spPr>
        <a:xfrm xmlns:a="http://schemas.openxmlformats.org/drawingml/2006/main" flipV="1">
          <a:off x="3307773" y="86580"/>
          <a:ext cx="17318" cy="3636818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0.74031</cdr:x>
      <cdr:y>0.02136</cdr:y>
    </cdr:from>
    <cdr:to>
      <cdr:x>0.74419</cdr:x>
      <cdr:y>0.9188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24C71FA8-0EAF-44CA-A036-9F04ABD10C41}"/>
            </a:ext>
          </a:extLst>
        </cdr:cNvPr>
        <cdr:cNvCxnSpPr/>
      </cdr:nvCxnSpPr>
      <cdr:spPr>
        <a:xfrm xmlns:a="http://schemas.openxmlformats.org/drawingml/2006/main" flipV="1">
          <a:off x="3307773" y="86580"/>
          <a:ext cx="17318" cy="3636818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0.74031</cdr:x>
      <cdr:y>0.02136</cdr:y>
    </cdr:from>
    <cdr:to>
      <cdr:x>0.74419</cdr:x>
      <cdr:y>0.9188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27F93A4F-50E1-4D5C-841E-D3C9840DA68C}"/>
            </a:ext>
          </a:extLst>
        </cdr:cNvPr>
        <cdr:cNvCxnSpPr/>
      </cdr:nvCxnSpPr>
      <cdr:spPr>
        <a:xfrm xmlns:a="http://schemas.openxmlformats.org/drawingml/2006/main" flipV="1">
          <a:off x="3307773" y="86580"/>
          <a:ext cx="17318" cy="3636818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40095</xdr:colOff>
      <xdr:row>0</xdr:row>
      <xdr:rowOff>34287</xdr:rowOff>
    </xdr:from>
    <xdr:to>
      <xdr:col>9</xdr:col>
      <xdr:colOff>504825</xdr:colOff>
      <xdr:row>3</xdr:row>
      <xdr:rowOff>106544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259420" y="34287"/>
          <a:ext cx="3722280" cy="10247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Базовая модель динамики:</a:t>
          </a:r>
        </a:p>
        <a:p>
          <a:r>
            <a:rPr lang="ru-RU" sz="1100"/>
            <a:t>= база_расчёта</a:t>
          </a:r>
          <a:r>
            <a:rPr lang="ru-RU" sz="1100" baseline="0"/>
            <a:t> * </a:t>
          </a:r>
          <a:r>
            <a:rPr lang="ru-RU" sz="1100"/>
            <a:t>(мин</a:t>
          </a:r>
          <a:r>
            <a:rPr lang="ru-RU" sz="1100" baseline="0"/>
            <a:t> + размах*фактор_в_%)</a:t>
          </a:r>
        </a:p>
        <a:p>
          <a:endParaRPr lang="ru-RU" sz="1100" baseline="0"/>
        </a:p>
        <a:p>
          <a:r>
            <a:rPr lang="ru-RU" sz="1100" baseline="0"/>
            <a:t>база_расчёта = целое / предыдущее</a:t>
          </a:r>
          <a:endParaRPr lang="en-US" sz="1100"/>
        </a:p>
      </xdr:txBody>
    </xdr:sp>
    <xdr:clientData/>
  </xdr:twoCellAnchor>
  <xdr:twoCellAnchor>
    <xdr:from>
      <xdr:col>24</xdr:col>
      <xdr:colOff>319978</xdr:colOff>
      <xdr:row>8</xdr:row>
      <xdr:rowOff>179093</xdr:rowOff>
    </xdr:from>
    <xdr:to>
      <xdr:col>32</xdr:col>
      <xdr:colOff>55351</xdr:colOff>
      <xdr:row>23</xdr:row>
      <xdr:rowOff>64793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161829</xdr:colOff>
      <xdr:row>28</xdr:row>
      <xdr:rowOff>93483</xdr:rowOff>
    </xdr:from>
    <xdr:to>
      <xdr:col>30</xdr:col>
      <xdr:colOff>443930</xdr:colOff>
      <xdr:row>43</xdr:row>
      <xdr:rowOff>115018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328025</xdr:colOff>
      <xdr:row>30</xdr:row>
      <xdr:rowOff>43703</xdr:rowOff>
    </xdr:from>
    <xdr:to>
      <xdr:col>19</xdr:col>
      <xdr:colOff>381814</xdr:colOff>
      <xdr:row>48</xdr:row>
      <xdr:rowOff>19610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221263</xdr:colOff>
      <xdr:row>2</xdr:row>
      <xdr:rowOff>107495</xdr:rowOff>
    </xdr:from>
    <xdr:to>
      <xdr:col>16</xdr:col>
      <xdr:colOff>548426</xdr:colOff>
      <xdr:row>30</xdr:row>
      <xdr:rowOff>93888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285750</xdr:colOff>
          <xdr:row>0</xdr:row>
          <xdr:rowOff>28575</xdr:rowOff>
        </xdr:from>
        <xdr:to>
          <xdr:col>4</xdr:col>
          <xdr:colOff>514350</xdr:colOff>
          <xdr:row>3</xdr:row>
          <xdr:rowOff>142875</xdr:rowOff>
        </xdr:to>
        <xdr:sp macro="" textlink="">
          <xdr:nvSpPr>
            <xdr:cNvPr id="7169" name="Spinner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4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76200</xdr:colOff>
          <xdr:row>0</xdr:row>
          <xdr:rowOff>28575</xdr:rowOff>
        </xdr:from>
        <xdr:to>
          <xdr:col>6</xdr:col>
          <xdr:colOff>219075</xdr:colOff>
          <xdr:row>2</xdr:row>
          <xdr:rowOff>161925</xdr:rowOff>
        </xdr:to>
        <xdr:sp macro="" textlink="">
          <xdr:nvSpPr>
            <xdr:cNvPr id="6145" name="Spinner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5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290146</xdr:colOff>
      <xdr:row>33</xdr:row>
      <xdr:rowOff>361</xdr:rowOff>
    </xdr:from>
    <xdr:to>
      <xdr:col>6</xdr:col>
      <xdr:colOff>69759</xdr:colOff>
      <xdr:row>37</xdr:row>
      <xdr:rowOff>71118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290146" y="6286861"/>
          <a:ext cx="3732488" cy="8327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По-умолчанию:</a:t>
          </a:r>
        </a:p>
        <a:p>
          <a:r>
            <a:rPr lang="ru-RU" sz="1100"/>
            <a:t>-</a:t>
          </a:r>
          <a:r>
            <a:rPr lang="ru-RU" sz="1100" baseline="0"/>
            <a:t> будущее дисконтируется по экспоненте</a:t>
          </a:r>
        </a:p>
        <a:p>
          <a:r>
            <a:rPr lang="ru-RU" sz="1100" baseline="0"/>
            <a:t>- прошлое амортизируется по прямой</a:t>
          </a:r>
          <a:endParaRPr lang="en-US" sz="1100"/>
        </a:p>
      </xdr:txBody>
    </xdr:sp>
    <xdr:clientData/>
  </xdr:twoCellAnchor>
  <xdr:twoCellAnchor>
    <xdr:from>
      <xdr:col>18</xdr:col>
      <xdr:colOff>103566</xdr:colOff>
      <xdr:row>5</xdr:row>
      <xdr:rowOff>148849</xdr:rowOff>
    </xdr:from>
    <xdr:to>
      <xdr:col>25</xdr:col>
      <xdr:colOff>44997</xdr:colOff>
      <xdr:row>32</xdr:row>
      <xdr:rowOff>23664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166687</xdr:colOff>
      <xdr:row>0</xdr:row>
      <xdr:rowOff>185397</xdr:rowOff>
    </xdr:from>
    <xdr:ext cx="15951716" cy="6809524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6287" y="185397"/>
          <a:ext cx="15951716" cy="6809524"/>
        </a:xfrm>
        <a:prstGeom prst="rect">
          <a:avLst/>
        </a:prstGeom>
      </xdr:spPr>
    </xdr:pic>
    <xdr:clientData/>
  </xdr:oneCellAnchor>
  <xdr:oneCellAnchor>
    <xdr:from>
      <xdr:col>1</xdr:col>
      <xdr:colOff>54429</xdr:colOff>
      <xdr:row>40</xdr:row>
      <xdr:rowOff>27214</xdr:rowOff>
    </xdr:from>
    <xdr:ext cx="17790476" cy="5295238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4029" y="7647214"/>
          <a:ext cx="17790476" cy="5295238"/>
        </a:xfrm>
        <a:prstGeom prst="rect">
          <a:avLst/>
        </a:prstGeom>
      </xdr:spPr>
    </xdr:pic>
    <xdr:clientData/>
  </xdr:oneCellAnchor>
  <xdr:oneCellAnchor>
    <xdr:from>
      <xdr:col>1</xdr:col>
      <xdr:colOff>81643</xdr:colOff>
      <xdr:row>69</xdr:row>
      <xdr:rowOff>13607</xdr:rowOff>
    </xdr:from>
    <xdr:ext cx="18076190" cy="5714286"/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1243" y="13158107"/>
          <a:ext cx="18076190" cy="5714286"/>
        </a:xfrm>
        <a:prstGeom prst="rect">
          <a:avLst/>
        </a:prstGeom>
      </xdr:spPr>
    </xdr:pic>
    <xdr:clientData/>
  </xdr:oneCellAnchor>
  <xdr:oneCellAnchor>
    <xdr:from>
      <xdr:col>4</xdr:col>
      <xdr:colOff>380999</xdr:colOff>
      <xdr:row>100</xdr:row>
      <xdr:rowOff>176892</xdr:rowOff>
    </xdr:from>
    <xdr:ext cx="17038095" cy="6857143"/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19399" y="19226892"/>
          <a:ext cx="17038095" cy="685714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"/>
  <sheetViews>
    <sheetView tabSelected="1" zoomScale="115" zoomScaleNormal="115" workbookViewId="0">
      <selection activeCell="H31" sqref="H31"/>
    </sheetView>
  </sheetViews>
  <sheetFormatPr defaultRowHeight="15" x14ac:dyDescent="0.25"/>
  <cols>
    <col min="1" max="1" width="3" bestFit="1" customWidth="1"/>
    <col min="2" max="2" width="10.42578125" customWidth="1"/>
    <col min="3" max="3" width="11.28515625" customWidth="1"/>
    <col min="13" max="13" width="12.140625" bestFit="1" customWidth="1"/>
  </cols>
  <sheetData>
    <row r="1" spans="1:14" x14ac:dyDescent="0.25">
      <c r="B1" t="s">
        <v>26</v>
      </c>
      <c r="C1" s="4">
        <v>7</v>
      </c>
    </row>
    <row r="2" spans="1:14" x14ac:dyDescent="0.25">
      <c r="B2" t="s">
        <v>27</v>
      </c>
      <c r="C2" s="5" t="s">
        <v>56</v>
      </c>
    </row>
    <row r="3" spans="1:14" x14ac:dyDescent="0.25">
      <c r="B3" t="s">
        <v>28</v>
      </c>
      <c r="C3" s="5" t="s">
        <v>143</v>
      </c>
    </row>
    <row r="4" spans="1:14" x14ac:dyDescent="0.25">
      <c r="B4" t="s">
        <v>29</v>
      </c>
      <c r="C4" s="6">
        <v>11</v>
      </c>
      <c r="D4" s="42"/>
      <c r="E4" s="42"/>
      <c r="F4" s="42"/>
      <c r="G4" s="42"/>
      <c r="H4" s="42"/>
      <c r="I4" s="42"/>
      <c r="J4" s="42"/>
    </row>
    <row r="6" spans="1:14" x14ac:dyDescent="0.25">
      <c r="A6" s="1">
        <v>0</v>
      </c>
      <c r="B6" s="1" t="s">
        <v>30</v>
      </c>
      <c r="C6" s="1"/>
      <c r="N6" s="7" t="str">
        <f>"Например: "&amp;SUBSTITUTE(C2,"-","")&amp;" "&amp;RIGHT("0"&amp;C1,2)&amp;" "&amp;SUBSTITUTE(SUBSTITUTE(C3,".","")," ","")</f>
        <v>Например: ПМ2541 07 ПетровГА</v>
      </c>
    </row>
    <row r="7" spans="1:14" ht="3" customHeight="1" x14ac:dyDescent="0.25">
      <c r="B7" t="s">
        <v>31</v>
      </c>
    </row>
    <row r="8" spans="1:14" ht="3" customHeight="1" x14ac:dyDescent="0.25">
      <c r="B8" t="s">
        <v>32</v>
      </c>
    </row>
    <row r="9" spans="1:14" ht="3" customHeight="1" x14ac:dyDescent="0.25"/>
    <row r="10" spans="1:14" x14ac:dyDescent="0.25">
      <c r="B10" s="1" t="s">
        <v>33</v>
      </c>
      <c r="C10" s="1" t="s">
        <v>35</v>
      </c>
    </row>
    <row r="12" spans="1:14" x14ac:dyDescent="0.25">
      <c r="B12" s="1" t="s">
        <v>34</v>
      </c>
      <c r="C12" s="2" t="s">
        <v>52</v>
      </c>
    </row>
    <row r="13" spans="1:14" x14ac:dyDescent="0.25">
      <c r="C13" s="2" t="s">
        <v>53</v>
      </c>
    </row>
    <row r="15" spans="1:14" x14ac:dyDescent="0.25">
      <c r="B15" s="1" t="s">
        <v>0</v>
      </c>
    </row>
    <row r="16" spans="1:14" x14ac:dyDescent="0.25">
      <c r="A16">
        <v>1</v>
      </c>
      <c r="B16" t="s">
        <v>54</v>
      </c>
    </row>
    <row r="17" spans="1:10" x14ac:dyDescent="0.25">
      <c r="B17" s="1"/>
    </row>
    <row r="18" spans="1:10" x14ac:dyDescent="0.25">
      <c r="A18" s="1" t="s">
        <v>3</v>
      </c>
      <c r="B18" s="1"/>
    </row>
    <row r="19" spans="1:10" x14ac:dyDescent="0.25">
      <c r="A19" s="2" t="s">
        <v>36</v>
      </c>
    </row>
    <row r="20" spans="1:10" x14ac:dyDescent="0.25">
      <c r="A20">
        <v>2</v>
      </c>
      <c r="B20" t="s">
        <v>37</v>
      </c>
    </row>
    <row r="21" spans="1:10" x14ac:dyDescent="0.25">
      <c r="B21" s="7" t="s">
        <v>38</v>
      </c>
    </row>
    <row r="22" spans="1:10" x14ac:dyDescent="0.25">
      <c r="A22">
        <v>3</v>
      </c>
      <c r="B22" t="s">
        <v>10</v>
      </c>
    </row>
    <row r="23" spans="1:10" x14ac:dyDescent="0.25">
      <c r="B23" t="s">
        <v>39</v>
      </c>
      <c r="J23" s="7" t="s">
        <v>40</v>
      </c>
    </row>
    <row r="24" spans="1:10" x14ac:dyDescent="0.25">
      <c r="B24" t="s">
        <v>11</v>
      </c>
    </row>
    <row r="25" spans="1:10" x14ac:dyDescent="0.25">
      <c r="B25" t="s">
        <v>12</v>
      </c>
    </row>
    <row r="26" spans="1:10" x14ac:dyDescent="0.25">
      <c r="A26">
        <v>4</v>
      </c>
      <c r="B26" t="s">
        <v>41</v>
      </c>
    </row>
    <row r="27" spans="1:10" x14ac:dyDescent="0.25">
      <c r="A27">
        <v>5</v>
      </c>
      <c r="B27" t="s">
        <v>13</v>
      </c>
    </row>
    <row r="29" spans="1:10" x14ac:dyDescent="0.25">
      <c r="A29">
        <v>6</v>
      </c>
      <c r="B29" t="s">
        <v>42</v>
      </c>
      <c r="J29" s="7" t="s">
        <v>43</v>
      </c>
    </row>
    <row r="30" spans="1:10" x14ac:dyDescent="0.25">
      <c r="A30">
        <v>7</v>
      </c>
      <c r="B30" t="s">
        <v>44</v>
      </c>
      <c r="J30" s="7" t="s">
        <v>45</v>
      </c>
    </row>
    <row r="31" spans="1:10" x14ac:dyDescent="0.25">
      <c r="A31">
        <v>8</v>
      </c>
      <c r="B31" t="s">
        <v>4</v>
      </c>
    </row>
    <row r="32" spans="1:10" x14ac:dyDescent="0.25">
      <c r="B32" t="s">
        <v>5</v>
      </c>
      <c r="G32" t="s">
        <v>7</v>
      </c>
    </row>
    <row r="33" spans="1:7" x14ac:dyDescent="0.25">
      <c r="B33" t="s">
        <v>6</v>
      </c>
      <c r="G33" t="s">
        <v>8</v>
      </c>
    </row>
    <row r="34" spans="1:7" x14ac:dyDescent="0.25">
      <c r="B34" t="s">
        <v>9</v>
      </c>
    </row>
    <row r="35" spans="1:7" x14ac:dyDescent="0.25">
      <c r="A35">
        <v>9</v>
      </c>
      <c r="B35" t="s">
        <v>14</v>
      </c>
    </row>
    <row r="37" spans="1:7" x14ac:dyDescent="0.25">
      <c r="A37">
        <v>10</v>
      </c>
      <c r="B37" t="s">
        <v>55</v>
      </c>
    </row>
    <row r="38" spans="1:7" x14ac:dyDescent="0.25">
      <c r="A38">
        <v>11</v>
      </c>
      <c r="B38" t="s">
        <v>15</v>
      </c>
    </row>
    <row r="40" spans="1:7" x14ac:dyDescent="0.25">
      <c r="A40" s="1" t="s">
        <v>1</v>
      </c>
    </row>
    <row r="41" spans="1:7" s="2" customFormat="1" x14ac:dyDescent="0.25">
      <c r="A41" s="2" t="s">
        <v>51</v>
      </c>
    </row>
    <row r="42" spans="1:7" s="2" customFormat="1" x14ac:dyDescent="0.25">
      <c r="A42"/>
      <c r="B42" s="7" t="s">
        <v>46</v>
      </c>
    </row>
    <row r="43" spans="1:7" s="2" customFormat="1" x14ac:dyDescent="0.25">
      <c r="A43"/>
      <c r="B43" s="7" t="s">
        <v>47</v>
      </c>
    </row>
    <row r="44" spans="1:7" s="2" customFormat="1" x14ac:dyDescent="0.25">
      <c r="B44" s="7" t="s">
        <v>48</v>
      </c>
    </row>
    <row r="45" spans="1:7" s="2" customFormat="1" x14ac:dyDescent="0.25">
      <c r="B45"/>
    </row>
    <row r="46" spans="1:7" s="2" customFormat="1" x14ac:dyDescent="0.25">
      <c r="A46">
        <v>12</v>
      </c>
      <c r="B46" t="s">
        <v>16</v>
      </c>
    </row>
    <row r="47" spans="1:7" x14ac:dyDescent="0.25">
      <c r="B47" t="s">
        <v>17</v>
      </c>
      <c r="E47" s="7" t="s">
        <v>49</v>
      </c>
    </row>
    <row r="48" spans="1:7" x14ac:dyDescent="0.25">
      <c r="B48" t="s">
        <v>18</v>
      </c>
    </row>
    <row r="49" spans="1:2" x14ac:dyDescent="0.25">
      <c r="B49" t="s">
        <v>20</v>
      </c>
    </row>
    <row r="50" spans="1:2" x14ac:dyDescent="0.25">
      <c r="B50" t="s">
        <v>19</v>
      </c>
    </row>
    <row r="51" spans="1:2" x14ac:dyDescent="0.25">
      <c r="B51" t="s">
        <v>21</v>
      </c>
    </row>
    <row r="52" spans="1:2" x14ac:dyDescent="0.25">
      <c r="A52">
        <v>13</v>
      </c>
      <c r="B52" t="s">
        <v>22</v>
      </c>
    </row>
    <row r="54" spans="1:2" x14ac:dyDescent="0.25">
      <c r="A54">
        <v>14</v>
      </c>
      <c r="B54" t="s">
        <v>50</v>
      </c>
    </row>
    <row r="55" spans="1:2" x14ac:dyDescent="0.25">
      <c r="A55">
        <v>15</v>
      </c>
      <c r="B55" t="s">
        <v>23</v>
      </c>
    </row>
    <row r="56" spans="1:2" x14ac:dyDescent="0.25">
      <c r="A56">
        <v>16</v>
      </c>
      <c r="B56" t="s">
        <v>25</v>
      </c>
    </row>
    <row r="57" spans="1:2" x14ac:dyDescent="0.25">
      <c r="A57" s="2" t="s">
        <v>2</v>
      </c>
    </row>
    <row r="58" spans="1:2" x14ac:dyDescent="0.25">
      <c r="A58">
        <v>17</v>
      </c>
      <c r="B58" t="s">
        <v>24</v>
      </c>
    </row>
  </sheetData>
  <mergeCells count="1">
    <mergeCell ref="D4:J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40"/>
  <sheetViews>
    <sheetView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7" sqref="G7:G29"/>
    </sheetView>
  </sheetViews>
  <sheetFormatPr defaultRowHeight="15" x14ac:dyDescent="0.25"/>
  <cols>
    <col min="2" max="2" width="3.140625" bestFit="1" customWidth="1"/>
    <col min="3" max="3" width="8.42578125" customWidth="1"/>
    <col min="4" max="8" width="13.42578125" customWidth="1"/>
    <col min="9" max="9" width="3.140625" customWidth="1"/>
  </cols>
  <sheetData>
    <row r="1" spans="2:8" x14ac:dyDescent="0.25">
      <c r="C1" s="13" t="s">
        <v>140</v>
      </c>
      <c r="D1" s="37"/>
      <c r="E1" s="37"/>
      <c r="F1" s="40">
        <v>0.01</v>
      </c>
      <c r="G1" s="37"/>
      <c r="H1" s="37"/>
    </row>
    <row r="2" spans="2:8" x14ac:dyDescent="0.25">
      <c r="C2" t="s">
        <v>141</v>
      </c>
      <c r="D2" s="38">
        <f>1+D1</f>
        <v>1</v>
      </c>
      <c r="E2" s="38">
        <f t="shared" ref="E2:H2" si="0">1+E1</f>
        <v>1</v>
      </c>
      <c r="F2" s="41">
        <f t="shared" si="0"/>
        <v>1.01</v>
      </c>
      <c r="G2" s="38">
        <f t="shared" si="0"/>
        <v>1</v>
      </c>
      <c r="H2" s="38">
        <f t="shared" si="0"/>
        <v>1</v>
      </c>
    </row>
    <row r="3" spans="2:8" x14ac:dyDescent="0.25">
      <c r="C3" t="s">
        <v>142</v>
      </c>
      <c r="D3" s="38">
        <f>1-D1</f>
        <v>1</v>
      </c>
      <c r="E3" s="38">
        <f t="shared" ref="E3:H3" si="1">1-E1</f>
        <v>1</v>
      </c>
      <c r="F3" s="41">
        <f t="shared" si="1"/>
        <v>0.99</v>
      </c>
      <c r="G3" s="38">
        <f t="shared" si="1"/>
        <v>1</v>
      </c>
      <c r="H3" s="38">
        <f t="shared" si="1"/>
        <v>1</v>
      </c>
    </row>
    <row r="4" spans="2:8" x14ac:dyDescent="0.25">
      <c r="C4" t="s">
        <v>139</v>
      </c>
      <c r="D4" s="37">
        <v>1</v>
      </c>
      <c r="E4" s="37">
        <v>1</v>
      </c>
      <c r="F4" s="37">
        <v>1</v>
      </c>
      <c r="G4" s="40">
        <v>0</v>
      </c>
      <c r="H4" s="37">
        <v>1</v>
      </c>
    </row>
    <row r="6" spans="2:8" x14ac:dyDescent="0.25">
      <c r="B6" s="11" t="s">
        <v>59</v>
      </c>
      <c r="C6" s="11" t="s">
        <v>60</v>
      </c>
      <c r="D6" s="11" t="s">
        <v>61</v>
      </c>
      <c r="E6" s="11" t="s">
        <v>106</v>
      </c>
      <c r="F6" s="11" t="s">
        <v>86</v>
      </c>
      <c r="G6" s="11" t="s">
        <v>107</v>
      </c>
      <c r="H6" s="11" t="s">
        <v>108</v>
      </c>
    </row>
    <row r="7" spans="2:8" x14ac:dyDescent="0.25">
      <c r="B7" s="9">
        <v>1</v>
      </c>
      <c r="C7" s="9" t="s">
        <v>62</v>
      </c>
      <c r="D7" s="12">
        <v>1523670.1312683504</v>
      </c>
      <c r="E7" s="12">
        <v>854871.14703622425</v>
      </c>
      <c r="F7" s="12">
        <v>663998.76369988162</v>
      </c>
      <c r="G7" s="12">
        <v>7124.9668564346994</v>
      </c>
      <c r="H7" s="12">
        <v>3013.1797778016089</v>
      </c>
    </row>
    <row r="8" spans="2:8" x14ac:dyDescent="0.25">
      <c r="B8" s="9">
        <v>2</v>
      </c>
      <c r="C8" s="9" t="s">
        <v>63</v>
      </c>
      <c r="D8" s="12">
        <v>1899714.2822209885</v>
      </c>
      <c r="E8" s="12">
        <v>1139219.2493035407</v>
      </c>
      <c r="F8" s="12">
        <v>884858.70150511106</v>
      </c>
      <c r="G8" s="12">
        <v>9472.4628590143511</v>
      </c>
      <c r="H8" s="12">
        <v>3063.7503642895449</v>
      </c>
    </row>
    <row r="9" spans="2:8" x14ac:dyDescent="0.25">
      <c r="B9" s="9">
        <v>3</v>
      </c>
      <c r="C9" s="9" t="s">
        <v>64</v>
      </c>
      <c r="D9" s="12">
        <v>2271976.8034374709</v>
      </c>
      <c r="E9" s="12">
        <v>1403738.508618192</v>
      </c>
      <c r="F9" s="12">
        <v>1090317.1051120984</v>
      </c>
      <c r="G9" s="12">
        <v>10821.718177877687</v>
      </c>
      <c r="H9" s="12">
        <v>3114.3209507774804</v>
      </c>
    </row>
    <row r="10" spans="2:8" x14ac:dyDescent="0.25">
      <c r="B10" s="9">
        <v>4</v>
      </c>
      <c r="C10" s="9" t="s">
        <v>65</v>
      </c>
      <c r="D10" s="12">
        <v>2745199.6299384595</v>
      </c>
      <c r="E10" s="12">
        <v>1677617.7878271635</v>
      </c>
      <c r="F10" s="12">
        <v>1303045.6589160857</v>
      </c>
      <c r="G10" s="12">
        <v>15014.027631766721</v>
      </c>
      <c r="H10" s="12">
        <v>3164.8915372654155</v>
      </c>
    </row>
    <row r="11" spans="2:8" x14ac:dyDescent="0.25">
      <c r="B11" s="9">
        <v>5</v>
      </c>
      <c r="C11" s="9" t="s">
        <v>66</v>
      </c>
      <c r="D11" s="12">
        <v>3476075.5445336094</v>
      </c>
      <c r="E11" s="12">
        <v>2080056.4881224297</v>
      </c>
      <c r="F11" s="12">
        <v>1615629.3744707303</v>
      </c>
      <c r="G11" s="12">
        <v>18464.986503774206</v>
      </c>
      <c r="H11" s="12">
        <v>3262.6488048257374</v>
      </c>
    </row>
    <row r="12" spans="2:8" x14ac:dyDescent="0.25">
      <c r="B12" s="9">
        <v>6</v>
      </c>
      <c r="C12" s="9" t="s">
        <v>67</v>
      </c>
      <c r="D12" s="12">
        <v>4183589.0473623835</v>
      </c>
      <c r="E12" s="12">
        <v>2564917.6229515877</v>
      </c>
      <c r="F12" s="12">
        <v>1992232.5563758044</v>
      </c>
      <c r="G12" s="12">
        <v>23149.291880697179</v>
      </c>
      <c r="H12" s="12">
        <v>3415.8645222520108</v>
      </c>
    </row>
    <row r="13" spans="2:8" x14ac:dyDescent="0.25">
      <c r="B13" s="9">
        <v>7</v>
      </c>
      <c r="C13" s="9" t="s">
        <v>68</v>
      </c>
      <c r="D13" s="12">
        <v>5380452.4239379605</v>
      </c>
      <c r="E13" s="12">
        <v>3296150.8327038502</v>
      </c>
      <c r="F13" s="12">
        <v>2560198.7919133157</v>
      </c>
      <c r="G13" s="12">
        <v>29243.136120380714</v>
      </c>
      <c r="H13" s="12">
        <v>3564.3803710455763</v>
      </c>
    </row>
    <row r="14" spans="2:8" x14ac:dyDescent="0.25">
      <c r="B14" s="9">
        <v>8</v>
      </c>
      <c r="C14" s="9" t="s">
        <v>69</v>
      </c>
      <c r="D14" s="12">
        <v>5857652.2365358304</v>
      </c>
      <c r="E14" s="12">
        <v>3853809.5568073275</v>
      </c>
      <c r="F14" s="12">
        <v>2993345.5938084461</v>
      </c>
      <c r="G14" s="12">
        <v>32827.12981312503</v>
      </c>
      <c r="H14" s="12">
        <v>3721.2849999999999</v>
      </c>
    </row>
    <row r="15" spans="2:8" x14ac:dyDescent="0.25">
      <c r="B15" s="9">
        <v>9</v>
      </c>
      <c r="C15" s="9" t="s">
        <v>70</v>
      </c>
      <c r="D15" s="12">
        <v>6511019.5831007604</v>
      </c>
      <c r="E15" s="12">
        <v>4239214.9484877475</v>
      </c>
      <c r="F15" s="12">
        <v>3292699.1332117636</v>
      </c>
      <c r="G15" s="12">
        <v>34417.519307577262</v>
      </c>
      <c r="H15" s="12">
        <v>3722.31</v>
      </c>
    </row>
    <row r="16" spans="2:8" x14ac:dyDescent="0.25">
      <c r="B16" s="9">
        <v>10</v>
      </c>
      <c r="C16" s="9" t="s">
        <v>71</v>
      </c>
      <c r="D16" s="12">
        <v>7448243.4494492188</v>
      </c>
      <c r="E16" s="12">
        <v>4675803.1769923167</v>
      </c>
      <c r="F16" s="12">
        <v>3631807.6</v>
      </c>
      <c r="G16" s="12">
        <v>38027.270514532211</v>
      </c>
      <c r="H16" s="12">
        <v>3588.8969999999999</v>
      </c>
    </row>
    <row r="17" spans="2:8" x14ac:dyDescent="0.25">
      <c r="B17" s="9">
        <v>11</v>
      </c>
      <c r="C17" s="9" t="s">
        <v>72</v>
      </c>
      <c r="D17" s="12">
        <v>8915955.3337932099</v>
      </c>
      <c r="E17" s="12">
        <v>5864573.2429680433</v>
      </c>
      <c r="F17" s="12">
        <v>6188755.7403909471</v>
      </c>
      <c r="G17" s="12">
        <v>48913.793502099419</v>
      </c>
      <c r="H17" s="12">
        <v>3517.73</v>
      </c>
    </row>
    <row r="18" spans="2:8" x14ac:dyDescent="0.25">
      <c r="B18" s="9">
        <v>12</v>
      </c>
      <c r="C18" s="9" t="s">
        <v>73</v>
      </c>
      <c r="D18" s="12">
        <v>10017461.84195617</v>
      </c>
      <c r="E18" s="12">
        <v>6696500.3734088941</v>
      </c>
      <c r="F18" s="12">
        <v>7066670.2263727253</v>
      </c>
      <c r="G18" s="12">
        <v>55417.97686444701</v>
      </c>
      <c r="H18" s="12">
        <v>3511.3829999999998</v>
      </c>
    </row>
    <row r="19" spans="2:8" x14ac:dyDescent="0.25">
      <c r="B19" s="9">
        <v>13</v>
      </c>
      <c r="C19" s="9" t="s">
        <v>74</v>
      </c>
      <c r="D19" s="12">
        <v>9925208.0999999996</v>
      </c>
      <c r="E19" s="12">
        <v>6933386.9000000004</v>
      </c>
      <c r="F19" s="12">
        <v>7517411.2509606024</v>
      </c>
      <c r="G19" s="12">
        <v>58446.402896956672</v>
      </c>
      <c r="H19" s="12">
        <v>3511.895</v>
      </c>
    </row>
    <row r="20" spans="2:8" x14ac:dyDescent="0.25">
      <c r="B20" s="9">
        <v>14</v>
      </c>
      <c r="C20" s="9" t="s">
        <v>75</v>
      </c>
      <c r="D20" s="12">
        <v>10706582.1</v>
      </c>
      <c r="E20" s="12">
        <v>7504676.2999999998</v>
      </c>
      <c r="F20" s="12">
        <v>7806214.914021723</v>
      </c>
      <c r="G20" s="12">
        <v>57428.570061473758</v>
      </c>
      <c r="H20" s="12">
        <v>3506.1019999999999</v>
      </c>
    </row>
    <row r="21" spans="2:8" x14ac:dyDescent="0.25">
      <c r="B21" s="9">
        <v>15</v>
      </c>
      <c r="C21" s="9" t="s">
        <v>76</v>
      </c>
      <c r="D21" s="12">
        <v>11852881.700000001</v>
      </c>
      <c r="E21" s="12">
        <v>8005749.4000000004</v>
      </c>
      <c r="F21" s="12">
        <v>8342022.5787704289</v>
      </c>
      <c r="G21" s="12">
        <v>59750.30854984279</v>
      </c>
      <c r="H21" s="12">
        <v>3420.6927000000001</v>
      </c>
    </row>
    <row r="22" spans="2:8" x14ac:dyDescent="0.25">
      <c r="B22" s="9">
        <v>16</v>
      </c>
      <c r="C22" s="9" t="s">
        <v>77</v>
      </c>
      <c r="D22" s="12">
        <v>12766002.800000001</v>
      </c>
      <c r="E22" s="12">
        <v>8435287.0999999996</v>
      </c>
      <c r="F22" s="12">
        <v>8435287.0999999996</v>
      </c>
      <c r="G22" s="12">
        <v>71121.2</v>
      </c>
      <c r="H22" s="12">
        <v>4608.7519299999994</v>
      </c>
    </row>
    <row r="23" spans="2:8" x14ac:dyDescent="0.25">
      <c r="B23" s="9">
        <v>17</v>
      </c>
      <c r="C23" s="9" t="s">
        <v>78</v>
      </c>
      <c r="D23" s="12">
        <v>13515794</v>
      </c>
      <c r="E23" s="12">
        <v>8889867.7000000011</v>
      </c>
      <c r="F23" s="12">
        <v>8889867.7000000011</v>
      </c>
      <c r="G23" s="12">
        <v>79509</v>
      </c>
      <c r="H23" s="12">
        <v>4690.2311</v>
      </c>
    </row>
    <row r="24" spans="2:8" x14ac:dyDescent="0.25">
      <c r="B24" s="9">
        <v>18</v>
      </c>
      <c r="C24" s="9" t="s">
        <v>79</v>
      </c>
      <c r="D24" s="12">
        <v>13615271.9</v>
      </c>
      <c r="E24" s="12">
        <v>9318440.1999999993</v>
      </c>
      <c r="F24" s="12">
        <v>9438926.0500000007</v>
      </c>
      <c r="G24" s="12">
        <v>84992.9</v>
      </c>
      <c r="H24" s="12">
        <v>4692.8642</v>
      </c>
    </row>
    <row r="25" spans="2:8" x14ac:dyDescent="0.25">
      <c r="B25" s="9">
        <v>19</v>
      </c>
      <c r="C25" s="9" t="s">
        <v>80</v>
      </c>
      <c r="D25" s="12">
        <v>14544325.699999999</v>
      </c>
      <c r="E25" s="12">
        <v>9987984.4000000004</v>
      </c>
      <c r="F25" s="12">
        <v>9987984.4000000004</v>
      </c>
      <c r="G25" s="12">
        <v>91586</v>
      </c>
      <c r="H25" s="12">
        <v>4732.6019299999998</v>
      </c>
    </row>
    <row r="26" spans="2:8" x14ac:dyDescent="0.25">
      <c r="B26" s="9">
        <v>20</v>
      </c>
      <c r="C26" s="9" t="s">
        <v>81</v>
      </c>
      <c r="D26" s="12">
        <v>16406490.399999999</v>
      </c>
      <c r="E26" s="12">
        <v>12989466.85</v>
      </c>
      <c r="F26" s="12">
        <v>10979479.5</v>
      </c>
      <c r="G26" s="12">
        <v>97845.4</v>
      </c>
      <c r="H26" s="12">
        <v>4651.6728800000001</v>
      </c>
    </row>
    <row r="27" spans="2:8" x14ac:dyDescent="0.25">
      <c r="B27" s="9">
        <v>21</v>
      </c>
      <c r="C27" s="9" t="s">
        <v>82</v>
      </c>
      <c r="D27" s="12">
        <v>19738622.600000001</v>
      </c>
      <c r="E27" s="12">
        <v>15127767.050000001</v>
      </c>
      <c r="F27" s="12">
        <v>13819986.5</v>
      </c>
      <c r="G27" s="12">
        <v>108572.5</v>
      </c>
      <c r="H27" s="12">
        <v>4634.6379999999999</v>
      </c>
    </row>
    <row r="28" spans="2:8" x14ac:dyDescent="0.25">
      <c r="B28" s="9">
        <v>22</v>
      </c>
      <c r="C28" s="9" t="s">
        <v>83</v>
      </c>
      <c r="D28" s="12">
        <v>24340433.200000003</v>
      </c>
      <c r="E28" s="12">
        <v>16660493.5</v>
      </c>
      <c r="F28" s="12">
        <v>16660493.5</v>
      </c>
      <c r="G28" s="12">
        <v>124522.3</v>
      </c>
      <c r="H28" s="12">
        <v>4624.0249999999996</v>
      </c>
    </row>
    <row r="29" spans="2:8" x14ac:dyDescent="0.25">
      <c r="B29" s="9">
        <v>23</v>
      </c>
      <c r="C29" s="9" t="s">
        <v>84</v>
      </c>
      <c r="D29" s="12">
        <v>29177253.5</v>
      </c>
      <c r="E29" s="12">
        <v>20267549.700000003</v>
      </c>
      <c r="F29" s="12">
        <v>20267549.700000003</v>
      </c>
      <c r="G29" s="12">
        <v>145843.40000000002</v>
      </c>
      <c r="H29" s="12">
        <v>4571.1329999999998</v>
      </c>
    </row>
    <row r="30" spans="2:8" x14ac:dyDescent="0.25">
      <c r="B30" s="9">
        <v>24</v>
      </c>
      <c r="C30" s="9" t="s">
        <v>85</v>
      </c>
      <c r="D30" s="12">
        <v>32463740.899999999</v>
      </c>
      <c r="E30" s="12">
        <v>22639157.185240481</v>
      </c>
      <c r="F30" s="39">
        <f t="array" ref="F30">TREND($F$8:$F$29,$E$7:$E$28^TRANSPOSE($F$2:$F$3),E29^TRANSPOSE($F$2:$F$3),F$4)</f>
        <v>23756392.110197999</v>
      </c>
      <c r="G30" s="39">
        <f t="array" ref="G30">TREND($G$8:$G$29,$F$7:$F$28^TRANSPOSE($G$2:$G$3),F29^TRANSPOSE($G$2:$G$3),G$4)</f>
        <v>185918.31503667688</v>
      </c>
      <c r="H30" s="39">
        <f t="array" ref="H30">TREND($H$8:$H$29,$G$7:$G$28^TRANSPOSE($H$2:$H$3),G29^TRANSPOSE($H$2:$H$3),H$4)</f>
        <v>5337.055011337914</v>
      </c>
    </row>
    <row r="31" spans="2:8" x14ac:dyDescent="0.25">
      <c r="B31" s="9">
        <v>25</v>
      </c>
      <c r="C31" s="9" t="s">
        <v>88</v>
      </c>
      <c r="D31" s="39">
        <f t="array" ref="D31">TREND($D$8:$D$30,$H$7:$H$29^TRANSPOSE($D$2:$D$3),H30^TRANSPOSE($D$2:$D$3),D$4)</f>
        <v>27575610.813263915</v>
      </c>
      <c r="E31" s="39">
        <f t="array" ref="E31">TREND($E$8:$E$30,$D$7:$D$29^TRANSPOSE($E$2:$E$3),D30^TRANSPOSE($E$2:$E$3),E$4)</f>
        <v>26210773.700060327</v>
      </c>
      <c r="F31" s="39">
        <f t="array" ref="F31">TREND($F$8:$F$29,$E$7:$E$28^TRANSPOSE($F$2:$F$3),E30^TRANSPOSE($F$2:$F$3),F$4)</f>
        <v>26789154.567377307</v>
      </c>
      <c r="G31" s="39">
        <f t="array" ref="G31">TREND($G$8:$G$29,$F$7:$F$28^TRANSPOSE($G$2:$G$3),F30^TRANSPOSE($G$2:$G$3),G$4)</f>
        <v>217922.16907594982</v>
      </c>
      <c r="H31" s="39">
        <f t="array" ref="H31">TREND($H$8:$H$29,$G$7:$G$28^TRANSPOSE($H$2:$H$3),G30^TRANSPOSE($H$2:$H$3),H$4)</f>
        <v>5964.4447314548288</v>
      </c>
    </row>
    <row r="32" spans="2:8" x14ac:dyDescent="0.25">
      <c r="B32" s="9">
        <v>26</v>
      </c>
      <c r="C32" s="9" t="s">
        <v>109</v>
      </c>
      <c r="D32" s="39">
        <f t="array" ref="D32">TREND($D$8:$D$30,$H$7:$H$29^TRANSPOSE($D$2:$D$3),H31^TRANSPOSE($D$2:$D$3),D$4)</f>
        <v>34250360.80364354</v>
      </c>
      <c r="E32" s="39">
        <f t="array" ref="E32">TREND($E$8:$E$30,$D$7:$D$29^TRANSPOSE($E$2:$E$3),D31^TRANSPOSE($E$2:$E$3),E$4)</f>
        <v>22197497.463480271</v>
      </c>
      <c r="F32" s="39">
        <f t="array" ref="F32">TREND($F$8:$F$29,$E$7:$E$28^TRANSPOSE($F$2:$F$3),E31^TRANSPOSE($F$2:$F$3),F$4)</f>
        <v>31405893.560443111</v>
      </c>
      <c r="G32" s="39">
        <f t="array" ref="G32">TREND($G$8:$G$29,$F$7:$F$28^TRANSPOSE($G$2:$G$3),F31^TRANSPOSE($G$2:$G$3),G$4)</f>
        <v>245742.30985721399</v>
      </c>
      <c r="H32" s="39">
        <f t="array" ref="H32">TREND($H$8:$H$29,$G$7:$G$28^TRANSPOSE($H$2:$H$3),G31^TRANSPOSE($H$2:$H$3),H$4)</f>
        <v>6465.4785829298889</v>
      </c>
    </row>
    <row r="33" spans="2:8" x14ac:dyDescent="0.25">
      <c r="B33" s="9">
        <v>27</v>
      </c>
      <c r="C33" s="9" t="s">
        <v>110</v>
      </c>
      <c r="D33" s="39">
        <f t="array" ref="D33">TREND($D$8:$D$30,$H$7:$H$29^TRANSPOSE($D$2:$D$3),H32^TRANSPOSE($D$2:$D$3),D$4)</f>
        <v>39580820.624836996</v>
      </c>
      <c r="E33" s="39">
        <f t="array" ref="E33">TREND($E$8:$E$30,$D$7:$D$29^TRANSPOSE($E$2:$E$3),D32^TRANSPOSE($E$2:$E$3),E$4)</f>
        <v>27677633.025786921</v>
      </c>
      <c r="F33" s="39">
        <f t="array" ref="F33">TREND($F$8:$F$29,$E$7:$E$28^TRANSPOSE($F$2:$F$3),E32^TRANSPOSE($F$2:$F$3),F$4)</f>
        <v>26222266.861224346</v>
      </c>
      <c r="G33" s="39">
        <f t="array" ref="G33">TREND($G$8:$G$29,$F$7:$F$28^TRANSPOSE($G$2:$G$3),F32^TRANSPOSE($G$2:$G$3),G$4)</f>
        <v>288092.58639581886</v>
      </c>
      <c r="H33" s="39">
        <f t="array" ref="H33">TREND($H$8:$H$29,$G$7:$G$28^TRANSPOSE($H$2:$H$3),G32^TRANSPOSE($H$2:$H$3),H$4)</f>
        <v>6901.0146364036482</v>
      </c>
    </row>
    <row r="34" spans="2:8" x14ac:dyDescent="0.25">
      <c r="B34" s="9">
        <v>28</v>
      </c>
      <c r="C34" s="9" t="s">
        <v>111</v>
      </c>
      <c r="D34" s="39">
        <f t="array" ref="D34">TREND($D$8:$D$30,$H$7:$H$29^TRANSPOSE($D$2:$D$3),H33^TRANSPOSE($D$2:$D$3),D$4)</f>
        <v>44214454.513821036</v>
      </c>
      <c r="E34" s="39">
        <f t="array" ref="E34">TREND($E$8:$E$30,$D$7:$D$29^TRANSPOSE($E$2:$E$3),D33^TRANSPOSE($E$2:$E$3),E$4)</f>
        <v>32054072.963113718</v>
      </c>
      <c r="F34" s="39">
        <f t="array" ref="F34">TREND($F$8:$F$29,$E$7:$E$28^TRANSPOSE($F$2:$F$3),E33^TRANSPOSE($F$2:$F$3),F$4)</f>
        <v>33317513.268413611</v>
      </c>
      <c r="G34" s="39">
        <f t="array" ref="G34">TREND($G$8:$G$29,$F$7:$F$28^TRANSPOSE($G$2:$G$3),F33^TRANSPOSE($G$2:$G$3),G$4)</f>
        <v>240542.13476436766</v>
      </c>
      <c r="H34" s="39">
        <f t="array" ref="H34">TREND($H$8:$H$29,$G$7:$G$28^TRANSPOSE($H$2:$H$3),G33^TRANSPOSE($H$2:$H$3),H$4)</f>
        <v>7564.0261018081801</v>
      </c>
    </row>
    <row r="35" spans="2:8" x14ac:dyDescent="0.25">
      <c r="B35" s="9">
        <v>29</v>
      </c>
      <c r="C35" s="9" t="s">
        <v>112</v>
      </c>
      <c r="D35" s="39">
        <f t="array" ref="D35">TREND($D$8:$D$30,$H$7:$H$29^TRANSPOSE($D$2:$D$3),H34^TRANSPOSE($D$2:$D$3),D$4)</f>
        <v>51268181.456471279</v>
      </c>
      <c r="E35" s="39">
        <f t="array" ref="E35">TREND($E$8:$E$30,$D$7:$D$29^TRANSPOSE($E$2:$E$3),D34^TRANSPOSE($E$2:$E$3),E$4)</f>
        <v>35858401.498913527</v>
      </c>
      <c r="F35" s="39">
        <f t="array" ref="F35">TREND($F$8:$F$29,$E$7:$E$28^TRANSPOSE($F$2:$F$3),E34^TRANSPOSE($F$2:$F$3),F$4)</f>
        <v>39068774.797067739</v>
      </c>
      <c r="G35" s="39">
        <f t="array" ref="G35">TREND($G$8:$G$29,$F$7:$F$28^TRANSPOSE($G$2:$G$3),F34^TRANSPOSE($G$2:$G$3),G$4)</f>
        <v>305628.25895404525</v>
      </c>
      <c r="H35" s="39">
        <f t="array" ref="H35">TREND($H$8:$H$29,$G$7:$G$28^TRANSPOSE($H$2:$H$3),G34^TRANSPOSE($H$2:$H$3),H$4)</f>
        <v>6819.6036990860302</v>
      </c>
    </row>
    <row r="36" spans="2:8" x14ac:dyDescent="0.25">
      <c r="B36" s="9">
        <v>30</v>
      </c>
      <c r="C36" s="9" t="s">
        <v>113</v>
      </c>
      <c r="D36" s="39">
        <f t="array" ref="D36">TREND($D$8:$D$30,$H$7:$H$29^TRANSPOSE($D$2:$D$3),H35^TRANSPOSE($D$2:$D$3),D$4)</f>
        <v>43348329.941400081</v>
      </c>
      <c r="E36" s="39">
        <f t="array" ref="E36">TREND($E$8:$E$30,$D$7:$D$29^TRANSPOSE($E$2:$E$3),D35^TRANSPOSE($E$2:$E$3),E$4)</f>
        <v>41649686.553924203</v>
      </c>
      <c r="F36" s="39">
        <f t="array" ref="F36">TREND($F$8:$F$29,$E$7:$E$28^TRANSPOSE($F$2:$F$3),E35^TRANSPOSE($F$2:$F$3),F$4)</f>
        <v>44120622.797572859</v>
      </c>
      <c r="G36" s="39">
        <f t="array" ref="G36">TREND($G$8:$G$29,$F$7:$F$28^TRANSPOSE($G$2:$G$3),F35^TRANSPOSE($G$2:$G$3),G$4)</f>
        <v>358385.73919067386</v>
      </c>
      <c r="H36" s="39">
        <f t="array" ref="H36">TREND($H$8:$H$29,$G$7:$G$28^TRANSPOSE($H$2:$H$3),G35^TRANSPOSE($H$2:$H$3),H$4)</f>
        <v>7838.5544617135893</v>
      </c>
    </row>
    <row r="37" spans="2:8" x14ac:dyDescent="0.25">
      <c r="B37" s="9">
        <v>31</v>
      </c>
      <c r="C37" s="9" t="s">
        <v>114</v>
      </c>
      <c r="D37" s="39">
        <f t="array" ref="D37">TREND($D$8:$D$30,$H$7:$H$29^TRANSPOSE($D$2:$D$3),H36^TRANSPOSE($D$2:$D$3),D$4)</f>
        <v>54188867.130594358</v>
      </c>
      <c r="E37" s="39">
        <f t="array" ref="E37">TREND($E$8:$E$30,$D$7:$D$29^TRANSPOSE($E$2:$E$3),D36^TRANSPOSE($E$2:$E$3),E$4)</f>
        <v>35147291.707902201</v>
      </c>
      <c r="F37" s="39">
        <f t="array" ref="F37">TREND($F$8:$F$29,$E$7:$E$28^TRANSPOSE($F$2:$F$3),E36^TRANSPOSE($F$2:$F$3),F$4)</f>
        <v>51892682.153877236</v>
      </c>
      <c r="G37" s="39">
        <f t="array" ref="G37">TREND($G$8:$G$29,$F$7:$F$28^TRANSPOSE($G$2:$G$3),F36^TRANSPOSE($G$2:$G$3),G$4)</f>
        <v>404727.35828019393</v>
      </c>
      <c r="H37" s="39">
        <f t="array" ref="H37">TREND($H$8:$H$29,$G$7:$G$28^TRANSPOSE($H$2:$H$3),G36^TRANSPOSE($H$2:$H$3),H$4)</f>
        <v>8664.4950963834108</v>
      </c>
    </row>
    <row r="38" spans="2:8" x14ac:dyDescent="0.25">
      <c r="B38" s="9">
        <v>32</v>
      </c>
      <c r="C38" s="9" t="s">
        <v>115</v>
      </c>
      <c r="D38" s="39">
        <f t="array" ref="D38">TREND($D$8:$D$30,$H$7:$H$29^TRANSPOSE($D$2:$D$3),H37^TRANSPOSE($D$2:$D$3),D$4)</f>
        <v>62975984.717234418</v>
      </c>
      <c r="E38" s="39">
        <f t="array" ref="E38">TREND($E$8:$E$30,$D$7:$D$29^TRANSPOSE($E$2:$E$3),D37^TRANSPOSE($E$2:$E$3),E$4)</f>
        <v>44047642.05070696</v>
      </c>
      <c r="F38" s="39">
        <f t="array" ref="F38">TREND($F$8:$F$29,$E$7:$E$28^TRANSPOSE($F$2:$F$3),E37^TRANSPOSE($F$2:$F$3),F$4)</f>
        <v>43172895.853570499</v>
      </c>
      <c r="G38" s="39">
        <f t="array" ref="G38">TREND($G$8:$G$29,$F$7:$F$28^TRANSPOSE($G$2:$G$3),F37^TRANSPOSE($G$2:$G$3),G$4)</f>
        <v>476022.02395401977</v>
      </c>
      <c r="H38" s="39">
        <f t="array" ref="H38">TREND($H$8:$H$29,$G$7:$G$28^TRANSPOSE($H$2:$H$3),G37^TRANSPOSE($H$2:$H$3),H$4)</f>
        <v>9389.9927151239535</v>
      </c>
    </row>
    <row r="39" spans="2:8" x14ac:dyDescent="0.25">
      <c r="B39" s="9">
        <v>33</v>
      </c>
      <c r="C39" s="9" t="s">
        <v>116</v>
      </c>
      <c r="D39" s="39">
        <f t="array" ref="D39">TREND($D$8:$D$30,$H$7:$H$29^TRANSPOSE($D$2:$D$3),H38^TRANSPOSE($D$2:$D$3),D$4)</f>
        <v>70694496.940875039</v>
      </c>
      <c r="E39" s="39">
        <f t="array" ref="E39">TREND($E$8:$E$30,$D$7:$D$29^TRANSPOSE($E$2:$E$3),D38^TRANSPOSE($E$2:$E$3),E$4)</f>
        <v>51262083.886898883</v>
      </c>
      <c r="F39" s="39">
        <f t="array" ref="F39">TREND($F$8:$F$29,$E$7:$E$28^TRANSPOSE($F$2:$F$3),E38^TRANSPOSE($F$2:$F$3),F$4)</f>
        <v>55136797.190179683</v>
      </c>
      <c r="G39" s="39">
        <f t="array" ref="G39">TREND($G$8:$G$29,$F$7:$F$28^TRANSPOSE($G$2:$G$3),F38^TRANSPOSE($G$2:$G$3),G$4)</f>
        <v>396033.6681621538</v>
      </c>
      <c r="H39" s="39">
        <f t="array" ref="H39">TREND($H$8:$H$29,$G$7:$G$28^TRANSPOSE($H$2:$H$3),G38^TRANSPOSE($H$2:$H$3),H$4)</f>
        <v>10506.140816797875</v>
      </c>
    </row>
    <row r="40" spans="2:8" x14ac:dyDescent="0.25">
      <c r="B40" s="9">
        <v>34</v>
      </c>
      <c r="C40" s="9" t="s">
        <v>117</v>
      </c>
      <c r="D40" s="39">
        <f t="array" ref="D40">TREND($D$8:$D$30,$H$7:$H$29^TRANSPOSE($D$2:$D$3),H39^TRANSPOSE($D$2:$D$3),D$4)</f>
        <v>82569108.991454899</v>
      </c>
      <c r="E40" s="39">
        <f t="array" ref="E40">TREND($E$8:$E$30,$D$7:$D$29^TRANSPOSE($E$2:$E$3),D39^TRANSPOSE($E$2:$E$3),E$4)</f>
        <v>57599174.172802739</v>
      </c>
      <c r="F40" s="39">
        <f t="array" ref="F40">TREND($F$8:$F$29,$E$7:$E$28^TRANSPOSE($F$2:$F$3),E39^TRANSPOSE($F$2:$F$3),F$4)</f>
        <v>64978475.149084516</v>
      </c>
      <c r="G40" s="39">
        <f t="array" ref="G40">TREND($G$8:$G$29,$F$7:$F$28^TRANSPOSE($G$2:$G$3),F39^TRANSPOSE($G$2:$G$3),G$4)</f>
        <v>505780.94450742536</v>
      </c>
      <c r="H40" s="39">
        <f t="array" ref="H40">TREND($H$8:$H$29,$G$7:$G$28^TRANSPOSE($H$2:$H$3),G39^TRANSPOSE($H$2:$H$3),H$4)</f>
        <v>9253.8893246376974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37"/>
  <sheetViews>
    <sheetView zoomScale="70" zoomScaleNormal="70" workbookViewId="0">
      <selection activeCell="P21" sqref="P21"/>
    </sheetView>
  </sheetViews>
  <sheetFormatPr defaultRowHeight="15" x14ac:dyDescent="0.25"/>
  <cols>
    <col min="2" max="2" width="16" customWidth="1"/>
    <col min="3" max="3" width="8.140625" customWidth="1"/>
    <col min="4" max="4" width="10.42578125" customWidth="1"/>
    <col min="5" max="5" width="8.140625" customWidth="1"/>
    <col min="6" max="6" width="8.7109375" customWidth="1"/>
    <col min="7" max="13" width="12.5703125" bestFit="1" customWidth="1"/>
    <col min="15" max="15" width="12.140625" bestFit="1" customWidth="1"/>
    <col min="16" max="16" width="12.140625" customWidth="1"/>
    <col min="17" max="17" width="12.140625" bestFit="1" customWidth="1"/>
    <col min="18" max="18" width="12.140625" customWidth="1"/>
    <col min="19" max="19" width="11.140625" bestFit="1" customWidth="1"/>
    <col min="20" max="20" width="9" customWidth="1"/>
    <col min="21" max="22" width="11" customWidth="1"/>
    <col min="23" max="23" width="13.140625" customWidth="1"/>
    <col min="24" max="24" width="12.140625" customWidth="1"/>
  </cols>
  <sheetData>
    <row r="1" spans="1:24" ht="45" x14ac:dyDescent="0.25">
      <c r="O1" s="11" t="s">
        <v>61</v>
      </c>
      <c r="P1" s="11" t="s">
        <v>118</v>
      </c>
      <c r="Q1" s="11" t="s">
        <v>106</v>
      </c>
      <c r="R1" s="11" t="s">
        <v>131</v>
      </c>
      <c r="S1" s="11" t="s">
        <v>86</v>
      </c>
      <c r="T1" s="11" t="s">
        <v>124</v>
      </c>
      <c r="U1" s="11" t="s">
        <v>125</v>
      </c>
      <c r="V1" s="11" t="s">
        <v>126</v>
      </c>
      <c r="W1" s="11" t="s">
        <v>108</v>
      </c>
      <c r="X1" s="11" t="s">
        <v>118</v>
      </c>
    </row>
    <row r="2" spans="1:24" x14ac:dyDescent="0.25">
      <c r="O2" s="12">
        <v>1523670.1312683504</v>
      </c>
      <c r="P2" s="12"/>
      <c r="Q2" s="12">
        <v>854871.14703622425</v>
      </c>
      <c r="R2" s="18">
        <f>Q2/O2</f>
        <v>0.56106051401335988</v>
      </c>
      <c r="S2" s="12">
        <v>663998.76369988162</v>
      </c>
      <c r="T2" s="12">
        <v>4248.1362379135071</v>
      </c>
      <c r="U2" s="12">
        <v>7124.9668564346994</v>
      </c>
      <c r="V2" s="18">
        <f t="shared" ref="V2:V24" si="0">U2/Q2</f>
        <v>8.3345506292222381E-3</v>
      </c>
      <c r="W2" s="12">
        <v>3013.1797778016089</v>
      </c>
      <c r="X2" s="12"/>
    </row>
    <row r="3" spans="1:24" x14ac:dyDescent="0.25">
      <c r="O3" s="12">
        <v>1899714.2822209885</v>
      </c>
      <c r="P3" s="18">
        <f>O3/O2</f>
        <v>1.2468015505689589</v>
      </c>
      <c r="Q3" s="12">
        <v>1139219.2493035407</v>
      </c>
      <c r="R3" s="18">
        <f t="shared" ref="R3:R25" si="1">Q3/O3</f>
        <v>0.5996792570152496</v>
      </c>
      <c r="S3" s="12">
        <v>884858.70150511106</v>
      </c>
      <c r="T3" s="12">
        <v>5357.0573364602014</v>
      </c>
      <c r="U3" s="12">
        <v>9472.4628590143511</v>
      </c>
      <c r="V3" s="18">
        <f t="shared" si="0"/>
        <v>8.3148725452149106E-3</v>
      </c>
      <c r="W3" s="12">
        <v>3063.7503642895449</v>
      </c>
      <c r="X3" s="18">
        <f>W3/W2</f>
        <v>1.0167831295233343</v>
      </c>
    </row>
    <row r="4" spans="1:24" x14ac:dyDescent="0.25">
      <c r="M4" s="8" t="s">
        <v>105</v>
      </c>
      <c r="O4" s="12">
        <v>2271976.8034374709</v>
      </c>
      <c r="P4" s="18">
        <f t="shared" ref="P4:P25" si="2">O4/O3</f>
        <v>1.1959571103404369</v>
      </c>
      <c r="Q4" s="12">
        <v>1403738.508618192</v>
      </c>
      <c r="R4" s="18">
        <f t="shared" si="1"/>
        <v>0.61784896152740387</v>
      </c>
      <c r="S4" s="12">
        <v>1090317.1051120984</v>
      </c>
      <c r="T4" s="12">
        <v>6566.1340218375062</v>
      </c>
      <c r="U4" s="12">
        <v>10821.718177877687</v>
      </c>
      <c r="V4" s="18">
        <f t="shared" si="0"/>
        <v>7.7092123008938021E-3</v>
      </c>
      <c r="W4" s="12">
        <v>3114.3209507774804</v>
      </c>
      <c r="X4" s="18">
        <f t="shared" ref="X4:X24" si="3">W4/W3</f>
        <v>1.016506105418175</v>
      </c>
    </row>
    <row r="5" spans="1:24" x14ac:dyDescent="0.25">
      <c r="C5" s="9" t="s">
        <v>103</v>
      </c>
      <c r="D5" s="43" t="s">
        <v>104</v>
      </c>
      <c r="E5" s="43"/>
      <c r="F5" s="43"/>
      <c r="G5" s="43"/>
      <c r="H5" s="43"/>
      <c r="I5" s="43"/>
      <c r="J5" s="43"/>
      <c r="K5" s="43"/>
      <c r="L5" s="43"/>
      <c r="M5" s="43"/>
      <c r="O5" s="12">
        <v>2745199.6299384595</v>
      </c>
      <c r="P5" s="18">
        <f t="shared" si="2"/>
        <v>1.2082868213200983</v>
      </c>
      <c r="Q5" s="12">
        <v>1677617.7878271635</v>
      </c>
      <c r="R5" s="18">
        <f t="shared" si="1"/>
        <v>0.61110957816381883</v>
      </c>
      <c r="S5" s="12">
        <v>1303045.6589160857</v>
      </c>
      <c r="T5" s="12">
        <v>8334.8349200115263</v>
      </c>
      <c r="U5" s="12">
        <v>15014.027631766721</v>
      </c>
      <c r="V5" s="18">
        <f t="shared" si="0"/>
        <v>8.9496116104090459E-3</v>
      </c>
      <c r="W5" s="12">
        <v>3164.8915372654155</v>
      </c>
      <c r="X5" s="18">
        <f t="shared" si="3"/>
        <v>1.0162380779910658</v>
      </c>
    </row>
    <row r="6" spans="1:24" x14ac:dyDescent="0.25">
      <c r="C6">
        <v>0</v>
      </c>
      <c r="D6">
        <v>1</v>
      </c>
      <c r="E6">
        <v>2</v>
      </c>
      <c r="F6">
        <v>3</v>
      </c>
      <c r="G6">
        <v>4</v>
      </c>
      <c r="H6">
        <v>5</v>
      </c>
      <c r="I6">
        <v>6</v>
      </c>
      <c r="J6">
        <v>7</v>
      </c>
      <c r="K6">
        <v>8</v>
      </c>
      <c r="L6">
        <v>9</v>
      </c>
      <c r="M6">
        <v>10</v>
      </c>
      <c r="O6" s="12">
        <v>3476075.5445336094</v>
      </c>
      <c r="P6" s="18">
        <f t="shared" si="2"/>
        <v>1.2662378016609066</v>
      </c>
      <c r="Q6" s="12">
        <v>2080056.4881224297</v>
      </c>
      <c r="R6" s="18">
        <f t="shared" si="1"/>
        <v>0.59839219875226102</v>
      </c>
      <c r="S6" s="12">
        <v>1615629.3744707303</v>
      </c>
      <c r="T6" s="12">
        <v>10360.35500776287</v>
      </c>
      <c r="U6" s="12">
        <v>18464.986503774206</v>
      </c>
      <c r="V6" s="18">
        <f t="shared" si="0"/>
        <v>8.8771562739825838E-3</v>
      </c>
      <c r="W6" s="12">
        <v>3262.6488048257374</v>
      </c>
      <c r="X6" s="18">
        <f t="shared" si="3"/>
        <v>1.030888030888031</v>
      </c>
    </row>
    <row r="7" spans="1:24" x14ac:dyDescent="0.25">
      <c r="A7" t="s">
        <v>137</v>
      </c>
      <c r="B7" s="11" t="s">
        <v>61</v>
      </c>
      <c r="C7" s="9">
        <v>100</v>
      </c>
      <c r="D7" s="30">
        <f>C7*($P$27+$P$29*(C11-$X$27)/$X$29)</f>
        <v>101.84133055604309</v>
      </c>
      <c r="E7" s="30">
        <f t="shared" ref="E7:M7" si="4">D7*($P$27+$P$29*(D11-$X$27)/$X$29)</f>
        <v>3011.0961813652684</v>
      </c>
      <c r="F7" s="30">
        <f t="shared" si="4"/>
        <v>4290.1443144765208</v>
      </c>
      <c r="G7" s="30">
        <f t="shared" si="4"/>
        <v>4435.1041327450848</v>
      </c>
      <c r="H7" s="30">
        <f t="shared" si="4"/>
        <v>4520.7861696832888</v>
      </c>
      <c r="I7" s="30">
        <f t="shared" si="4"/>
        <v>133798.28878878895</v>
      </c>
      <c r="J7" s="30">
        <f t="shared" si="4"/>
        <v>198008.79595047457</v>
      </c>
      <c r="K7" s="30">
        <f t="shared" si="4"/>
        <v>205150.47905972518</v>
      </c>
      <c r="L7" s="30">
        <f t="shared" si="4"/>
        <v>209123.17759989644</v>
      </c>
      <c r="M7" s="30">
        <f t="shared" si="4"/>
        <v>6189516.7906909976</v>
      </c>
      <c r="O7" s="12">
        <v>4183589.0473623835</v>
      </c>
      <c r="P7" s="18">
        <f t="shared" si="2"/>
        <v>1.203538011117564</v>
      </c>
      <c r="Q7" s="12">
        <v>2564917.6229515877</v>
      </c>
      <c r="R7" s="18">
        <f t="shared" si="1"/>
        <v>0.61309024235271981</v>
      </c>
      <c r="S7" s="12">
        <v>1992232.5563758044</v>
      </c>
      <c r="T7" s="12">
        <v>13243.725233688843</v>
      </c>
      <c r="U7" s="12">
        <v>23149.291880697179</v>
      </c>
      <c r="V7" s="18">
        <f t="shared" si="0"/>
        <v>9.025354917269449E-3</v>
      </c>
      <c r="W7" s="12">
        <v>3415.8645222520108</v>
      </c>
      <c r="X7" s="18">
        <f t="shared" si="3"/>
        <v>1.0469605301065974</v>
      </c>
    </row>
    <row r="8" spans="1:24" x14ac:dyDescent="0.25">
      <c r="B8" s="9" t="s">
        <v>118</v>
      </c>
      <c r="C8" s="29">
        <v>1</v>
      </c>
      <c r="D8" s="9">
        <f>D7/C7</f>
        <v>1.018413305560431</v>
      </c>
      <c r="E8" s="9">
        <f t="shared" ref="E8:M8" si="5">E7/D7</f>
        <v>29.566544004531323</v>
      </c>
      <c r="F8" s="9">
        <f t="shared" si="5"/>
        <v>1.4247782389107597</v>
      </c>
      <c r="G8" s="9">
        <f t="shared" si="5"/>
        <v>1.0337890307744233</v>
      </c>
      <c r="H8" s="9">
        <f t="shared" si="5"/>
        <v>1.0193190586677774</v>
      </c>
      <c r="I8" s="9">
        <f t="shared" si="5"/>
        <v>29.596243610469728</v>
      </c>
      <c r="J8" s="9">
        <f t="shared" si="5"/>
        <v>1.4799052943273954</v>
      </c>
      <c r="K8" s="9">
        <f t="shared" si="5"/>
        <v>1.0360675043498415</v>
      </c>
      <c r="L8" s="9">
        <f t="shared" si="5"/>
        <v>1.0193648026481805</v>
      </c>
      <c r="M8" s="9">
        <f t="shared" si="5"/>
        <v>29.597469117139422</v>
      </c>
      <c r="O8" s="12">
        <v>5380452.4239379605</v>
      </c>
      <c r="P8" s="18">
        <f t="shared" si="2"/>
        <v>1.2860853116847508</v>
      </c>
      <c r="Q8" s="12">
        <v>3296150.8327038502</v>
      </c>
      <c r="R8" s="18">
        <f t="shared" si="1"/>
        <v>0.61261592390243513</v>
      </c>
      <c r="S8" s="12">
        <v>2560198.7919133157</v>
      </c>
      <c r="T8" s="12">
        <v>16845.331827431215</v>
      </c>
      <c r="U8" s="12">
        <v>29243.136120380714</v>
      </c>
      <c r="V8" s="18">
        <f t="shared" si="0"/>
        <v>8.8719047169308115E-3</v>
      </c>
      <c r="W8" s="12">
        <v>3564.3803710455763</v>
      </c>
      <c r="X8" s="18">
        <f t="shared" si="3"/>
        <v>1.0434782608695652</v>
      </c>
    </row>
    <row r="9" spans="1:24" x14ac:dyDescent="0.25">
      <c r="B9" s="9"/>
      <c r="O9" s="12">
        <v>5857652.2365358304</v>
      </c>
      <c r="P9" s="18">
        <f t="shared" si="2"/>
        <v>1.0886913915407521</v>
      </c>
      <c r="Q9" s="12">
        <v>3853809.5568073275</v>
      </c>
      <c r="R9" s="18">
        <f t="shared" si="1"/>
        <v>0.6579102686858106</v>
      </c>
      <c r="S9" s="12">
        <v>2993345.5938084461</v>
      </c>
      <c r="T9" s="12">
        <v>18158.071493730473</v>
      </c>
      <c r="U9" s="12">
        <v>32827.12981312503</v>
      </c>
      <c r="V9" s="18">
        <f t="shared" si="0"/>
        <v>8.5180986058689748E-3</v>
      </c>
      <c r="W9" s="12">
        <v>3721.2849999999999</v>
      </c>
      <c r="X9" s="18">
        <f t="shared" si="3"/>
        <v>1.0440201697408622</v>
      </c>
    </row>
    <row r="10" spans="1:24" x14ac:dyDescent="0.25">
      <c r="A10" t="s">
        <v>122</v>
      </c>
      <c r="B10" s="11" t="s">
        <v>108</v>
      </c>
      <c r="C10" s="9">
        <v>100</v>
      </c>
      <c r="D10" s="30">
        <f>C10*($X$27+$X$29*(C17-$V$27)/$V$29)</f>
        <v>3804.2369059906846</v>
      </c>
      <c r="E10" s="30">
        <f t="shared" ref="E10:M10" si="6">D10*($X$27+$X$29*(D17-$V$27)/$V$29)</f>
        <v>5810.1164829236004</v>
      </c>
      <c r="F10" s="30">
        <f t="shared" si="6"/>
        <v>5926.031986501047</v>
      </c>
      <c r="G10" s="30">
        <f t="shared" si="6"/>
        <v>5932.9965660293947</v>
      </c>
      <c r="H10" s="30">
        <f t="shared" si="6"/>
        <v>225933.88165332892</v>
      </c>
      <c r="I10" s="30">
        <f t="shared" si="6"/>
        <v>361224.16554698127</v>
      </c>
      <c r="J10" s="30">
        <f t="shared" si="6"/>
        <v>369498.74417255883</v>
      </c>
      <c r="K10" s="30">
        <f t="shared" si="6"/>
        <v>369954.92970521876</v>
      </c>
      <c r="L10" s="30">
        <f t="shared" si="6"/>
        <v>14088807.005030457</v>
      </c>
      <c r="M10" s="30">
        <f t="shared" si="6"/>
        <v>22564348.983038049</v>
      </c>
      <c r="O10" s="12">
        <v>6511019.5831007604</v>
      </c>
      <c r="P10" s="18">
        <f t="shared" si="2"/>
        <v>1.1115408221897662</v>
      </c>
      <c r="Q10" s="12">
        <v>4239214.9484877475</v>
      </c>
      <c r="R10" s="18">
        <f t="shared" si="1"/>
        <v>0.65108312060534379</v>
      </c>
      <c r="S10" s="12">
        <v>3292699.1332117636</v>
      </c>
      <c r="T10" s="12">
        <v>20413.228466851222</v>
      </c>
      <c r="U10" s="12">
        <v>34417.519307577262</v>
      </c>
      <c r="V10" s="18">
        <f t="shared" si="0"/>
        <v>8.1188426927620173E-3</v>
      </c>
      <c r="W10" s="12">
        <v>3722.31</v>
      </c>
      <c r="X10" s="18">
        <f t="shared" si="3"/>
        <v>1.0002754424882803</v>
      </c>
    </row>
    <row r="11" spans="1:24" x14ac:dyDescent="0.25">
      <c r="B11" s="9" t="s">
        <v>118</v>
      </c>
      <c r="C11" s="29">
        <v>1</v>
      </c>
      <c r="D11" s="9">
        <f>D10/C10</f>
        <v>38.042369059906846</v>
      </c>
      <c r="E11" s="9">
        <f t="shared" ref="E11" si="7">E10/D10</f>
        <v>1.5272751478158935</v>
      </c>
      <c r="F11" s="9">
        <f t="shared" ref="F11" si="8">F10/E10</f>
        <v>1.0199506333337949</v>
      </c>
      <c r="G11" s="9">
        <f t="shared" ref="G11" si="9">G10/F10</f>
        <v>1.0011752517610792</v>
      </c>
      <c r="H11" s="9">
        <f t="shared" ref="H11" si="10">H10/G10</f>
        <v>38.080905515260255</v>
      </c>
      <c r="I11" s="9">
        <f t="shared" ref="I11" si="11">I10/H10</f>
        <v>1.5988047605061761</v>
      </c>
      <c r="J11" s="9">
        <f t="shared" ref="J11" si="12">J10/I10</f>
        <v>1.0229070461358747</v>
      </c>
      <c r="K11" s="9">
        <f t="shared" ref="K11" si="13">K10/J10</f>
        <v>1.0012346064495605</v>
      </c>
      <c r="L11" s="9">
        <f t="shared" ref="L11" si="14">L10/K10</f>
        <v>38.082495660367229</v>
      </c>
      <c r="M11" s="9">
        <f t="shared" ref="M11" si="15">M10/L10</f>
        <v>1.6015798197094595</v>
      </c>
      <c r="O11" s="12">
        <v>7448243.4494492188</v>
      </c>
      <c r="P11" s="18">
        <f t="shared" si="2"/>
        <v>1.1439442554866532</v>
      </c>
      <c r="Q11" s="12">
        <v>4675803.1769923167</v>
      </c>
      <c r="R11" s="18">
        <f t="shared" si="1"/>
        <v>0.62777260285954828</v>
      </c>
      <c r="S11" s="12">
        <v>3631807.6</v>
      </c>
      <c r="T11" s="12">
        <v>22768.053888734335</v>
      </c>
      <c r="U11" s="12">
        <v>38027.270514532211</v>
      </c>
      <c r="V11" s="18">
        <f t="shared" si="0"/>
        <v>8.1327782789593454E-3</v>
      </c>
      <c r="W11" s="12">
        <v>3588.8969999999999</v>
      </c>
      <c r="X11" s="18">
        <f t="shared" si="3"/>
        <v>0.96415854670889856</v>
      </c>
    </row>
    <row r="12" spans="1:24" x14ac:dyDescent="0.25">
      <c r="O12" s="12">
        <v>8915955.3337932099</v>
      </c>
      <c r="P12" s="18">
        <f t="shared" si="2"/>
        <v>1.1970547679201498</v>
      </c>
      <c r="Q12" s="12">
        <v>5864573.2429680433</v>
      </c>
      <c r="R12" s="18">
        <f t="shared" si="1"/>
        <v>0.65776162210460687</v>
      </c>
      <c r="S12" s="12">
        <v>6188755.7403909471</v>
      </c>
      <c r="T12" s="12">
        <v>25943.901810832969</v>
      </c>
      <c r="U12" s="12">
        <v>48913.793502099419</v>
      </c>
      <c r="V12" s="18">
        <f t="shared" si="0"/>
        <v>8.3405546278665435E-3</v>
      </c>
      <c r="W12" s="12">
        <v>3517.73</v>
      </c>
      <c r="X12" s="18">
        <f t="shared" si="3"/>
        <v>0.98017023057502073</v>
      </c>
    </row>
    <row r="13" spans="1:24" x14ac:dyDescent="0.25">
      <c r="A13" t="s">
        <v>130</v>
      </c>
      <c r="B13" s="11" t="s">
        <v>128</v>
      </c>
      <c r="C13" s="9">
        <f>C10*C14</f>
        <v>50</v>
      </c>
      <c r="D13" s="30">
        <f>D7*($R$27+$R$29*(C8-$P$27)/$P$29)</f>
        <v>57.871771291043487</v>
      </c>
      <c r="E13" s="30">
        <f t="shared" ref="E13:M13" si="16">E7*($R$27+$R$29*(D8-$P$27)/$P$29)</f>
        <v>1754.3780545455211</v>
      </c>
      <c r="F13" s="30">
        <f t="shared" si="16"/>
        <v>98170.351712090021</v>
      </c>
      <c r="G13" s="30">
        <f t="shared" si="16"/>
        <v>3991.8869090699782</v>
      </c>
      <c r="H13" s="30">
        <f t="shared" si="16"/>
        <v>2688.2777261998945</v>
      </c>
      <c r="I13" s="30">
        <f t="shared" si="16"/>
        <v>78050.587965406085</v>
      </c>
      <c r="J13" s="30">
        <f t="shared" si="16"/>
        <v>4535581.8936933167</v>
      </c>
      <c r="K13" s="30">
        <f t="shared" si="16"/>
        <v>193483.18712892773</v>
      </c>
      <c r="L13" s="30">
        <f t="shared" si="16"/>
        <v>124726.93764394421</v>
      </c>
      <c r="M13" s="30">
        <f t="shared" si="16"/>
        <v>3610846.0046348618</v>
      </c>
      <c r="O13" s="12">
        <v>10017461.84195617</v>
      </c>
      <c r="P13" s="18">
        <f t="shared" si="2"/>
        <v>1.1235432959144642</v>
      </c>
      <c r="Q13" s="12">
        <v>6696500.3734088941</v>
      </c>
      <c r="R13" s="18">
        <f t="shared" si="1"/>
        <v>0.66848274333942737</v>
      </c>
      <c r="S13" s="12">
        <v>7066670.2263727253</v>
      </c>
      <c r="T13" s="12">
        <v>29025.634658147192</v>
      </c>
      <c r="U13" s="12">
        <v>55417.97686444701</v>
      </c>
      <c r="V13" s="18">
        <f t="shared" si="0"/>
        <v>8.2756624765535775E-3</v>
      </c>
      <c r="W13" s="12">
        <v>3511.3829999999998</v>
      </c>
      <c r="X13" s="18">
        <f t="shared" si="3"/>
        <v>0.99819571143891084</v>
      </c>
    </row>
    <row r="14" spans="1:24" x14ac:dyDescent="0.25">
      <c r="B14" s="9" t="s">
        <v>129</v>
      </c>
      <c r="C14" s="29">
        <v>0.5</v>
      </c>
      <c r="D14" s="9">
        <f>D13/D7</f>
        <v>0.56825427333941558</v>
      </c>
      <c r="E14" s="9">
        <f t="shared" ref="E14:M14" si="17">E13/E7</f>
        <v>0.58263766710702158</v>
      </c>
      <c r="F14" s="9">
        <f t="shared" si="17"/>
        <v>22.882762097495704</v>
      </c>
      <c r="G14" s="9">
        <f t="shared" si="17"/>
        <v>0.9000661065874952</v>
      </c>
      <c r="H14" s="9">
        <f t="shared" si="17"/>
        <v>0.59464828136036929</v>
      </c>
      <c r="I14" s="9">
        <f t="shared" si="17"/>
        <v>0.58334518828275173</v>
      </c>
      <c r="J14" s="9">
        <f t="shared" si="17"/>
        <v>22.905961686811853</v>
      </c>
      <c r="K14" s="9">
        <f t="shared" si="17"/>
        <v>0.94312812729332807</v>
      </c>
      <c r="L14" s="9">
        <f t="shared" si="17"/>
        <v>0.59642809121128226</v>
      </c>
      <c r="M14" s="9">
        <f t="shared" si="17"/>
        <v>0.583380920795878</v>
      </c>
      <c r="O14" s="12">
        <v>9925208.0999999996</v>
      </c>
      <c r="P14" s="18">
        <f t="shared" si="2"/>
        <v>0.99079070692640081</v>
      </c>
      <c r="Q14" s="12">
        <v>6933386.9000000004</v>
      </c>
      <c r="R14" s="18">
        <f t="shared" si="1"/>
        <v>0.69856337823284542</v>
      </c>
      <c r="S14" s="12">
        <v>7517411.2509606024</v>
      </c>
      <c r="T14" s="12">
        <v>31659.492765519477</v>
      </c>
      <c r="U14" s="12">
        <v>58446.402896956672</v>
      </c>
      <c r="V14" s="18">
        <f t="shared" si="0"/>
        <v>8.4297045210266087E-3</v>
      </c>
      <c r="W14" s="12">
        <v>3511.895</v>
      </c>
      <c r="X14" s="18">
        <f t="shared" si="3"/>
        <v>1.0001458114936479</v>
      </c>
    </row>
    <row r="15" spans="1:24" x14ac:dyDescent="0.25">
      <c r="O15" s="12">
        <v>10706582.1</v>
      </c>
      <c r="P15" s="18">
        <f t="shared" si="2"/>
        <v>1.0787262082696281</v>
      </c>
      <c r="Q15" s="12">
        <v>7504676.2999999998</v>
      </c>
      <c r="R15" s="18">
        <f t="shared" si="1"/>
        <v>0.70094043364221714</v>
      </c>
      <c r="S15" s="12">
        <v>7806214.914021723</v>
      </c>
      <c r="T15" s="12">
        <v>33154.129786500402</v>
      </c>
      <c r="U15" s="12">
        <v>57428.570061473758</v>
      </c>
      <c r="V15" s="18">
        <f t="shared" si="0"/>
        <v>7.6523713702979779E-3</v>
      </c>
      <c r="W15" s="12">
        <v>3506.1019999999999</v>
      </c>
      <c r="X15" s="18">
        <f t="shared" si="3"/>
        <v>0.99835046321145704</v>
      </c>
    </row>
    <row r="16" spans="1:24" x14ac:dyDescent="0.25">
      <c r="A16" t="s">
        <v>123</v>
      </c>
      <c r="B16" s="11" t="s">
        <v>133</v>
      </c>
      <c r="C16" s="9">
        <f>C13*C17</f>
        <v>10</v>
      </c>
      <c r="D16" s="30">
        <f>D13*($V$27+$V$29*(C14-$R$27)/$R$29) + D20</f>
        <v>0.58482246386733161</v>
      </c>
      <c r="E16" s="30">
        <f>E13*($V$27+$V$29*(D14-$R$27)/$R$29) + E20</f>
        <v>13.100252222522276</v>
      </c>
      <c r="F16" s="30">
        <f>F13*($V$27+$V$29*(E14-$R$27)/$R$29) + F20</f>
        <v>723.47006007526829</v>
      </c>
      <c r="G16" s="30">
        <f>G13*($V$27+$V$29*(F14-$R$27)/$R$29) + G20</f>
        <v>799.17738181399579</v>
      </c>
      <c r="H16" s="30">
        <f t="shared" ref="H16:M16" si="18">H13*($V$27+$V$29*(G14-$R$27)/$R$29) + H20</f>
        <v>28.16635707397478</v>
      </c>
      <c r="I16" s="30">
        <f t="shared" si="18"/>
        <v>584.01758929540404</v>
      </c>
      <c r="J16" s="30">
        <f t="shared" si="18"/>
        <v>33426.539544473002</v>
      </c>
      <c r="K16" s="30">
        <f t="shared" si="18"/>
        <v>38737.012710063143</v>
      </c>
      <c r="L16" s="30">
        <f t="shared" si="18"/>
        <v>1308.6231113861832</v>
      </c>
      <c r="M16" s="30">
        <f t="shared" si="18"/>
        <v>27020.343281135352</v>
      </c>
      <c r="O16" s="12">
        <v>11852881.700000001</v>
      </c>
      <c r="P16" s="18">
        <f t="shared" si="2"/>
        <v>1.1070649427887918</v>
      </c>
      <c r="Q16" s="12">
        <v>8005749.4000000004</v>
      </c>
      <c r="R16" s="18">
        <f t="shared" si="1"/>
        <v>0.67542641550197868</v>
      </c>
      <c r="S16" s="12">
        <v>8342022.5787704289</v>
      </c>
      <c r="T16" s="12">
        <v>35764.897549437999</v>
      </c>
      <c r="U16" s="12">
        <v>59750.30854984279</v>
      </c>
      <c r="V16" s="18">
        <f t="shared" si="0"/>
        <v>7.463424791918017E-3</v>
      </c>
      <c r="W16" s="12">
        <v>3420.6927000000001</v>
      </c>
      <c r="X16" s="18">
        <f t="shared" si="3"/>
        <v>0.97563981310298453</v>
      </c>
    </row>
    <row r="17" spans="2:24" x14ac:dyDescent="0.25">
      <c r="B17" s="9" t="s">
        <v>127</v>
      </c>
      <c r="C17" s="29">
        <v>0.2</v>
      </c>
      <c r="D17" s="9">
        <f>D16/D13</f>
        <v>1.0105487542902311E-2</v>
      </c>
      <c r="E17" s="9">
        <f t="shared" ref="E17:M17" si="19">E16/E13</f>
        <v>7.4671774356616372E-3</v>
      </c>
      <c r="F17" s="9">
        <f t="shared" si="19"/>
        <v>7.3695372121822646E-3</v>
      </c>
      <c r="G17" s="9">
        <f t="shared" si="19"/>
        <v>0.20020040647899681</v>
      </c>
      <c r="H17" s="9">
        <f t="shared" si="19"/>
        <v>1.0477472918614806E-2</v>
      </c>
      <c r="I17" s="9">
        <f t="shared" si="19"/>
        <v>7.4825520796109159E-3</v>
      </c>
      <c r="J17" s="9">
        <f t="shared" si="19"/>
        <v>7.3698458826093041E-3</v>
      </c>
      <c r="K17" s="9">
        <f t="shared" si="19"/>
        <v>0.20020867593136499</v>
      </c>
      <c r="L17" s="9">
        <f t="shared" si="19"/>
        <v>1.0491904444265973E-2</v>
      </c>
      <c r="M17" s="9">
        <f t="shared" si="19"/>
        <v>7.4831059664278651E-3</v>
      </c>
      <c r="O17" s="12">
        <v>12766002.800000001</v>
      </c>
      <c r="P17" s="18">
        <f t="shared" si="2"/>
        <v>1.077037898724662</v>
      </c>
      <c r="Q17" s="12">
        <v>8435287.0999999996</v>
      </c>
      <c r="R17" s="18">
        <f t="shared" si="1"/>
        <v>0.66076180870021417</v>
      </c>
      <c r="S17" s="12">
        <v>8435287.0999999996</v>
      </c>
      <c r="T17" s="12">
        <v>39167</v>
      </c>
      <c r="U17" s="12">
        <v>71121.2</v>
      </c>
      <c r="V17" s="18">
        <f t="shared" si="0"/>
        <v>8.4313905569378903E-3</v>
      </c>
      <c r="W17" s="12">
        <v>4608.7519299999994</v>
      </c>
      <c r="X17" s="18">
        <f t="shared" si="3"/>
        <v>1.3473153931658344</v>
      </c>
    </row>
    <row r="18" spans="2:24" x14ac:dyDescent="0.25">
      <c r="O18" s="12">
        <v>13515794</v>
      </c>
      <c r="P18" s="18">
        <f t="shared" si="2"/>
        <v>1.058733435339682</v>
      </c>
      <c r="Q18" s="12">
        <v>8889867.7000000011</v>
      </c>
      <c r="R18" s="18">
        <f t="shared" si="1"/>
        <v>0.65773921236147881</v>
      </c>
      <c r="S18" s="12">
        <v>8889867.7000000011</v>
      </c>
      <c r="T18" s="12">
        <v>43724</v>
      </c>
      <c r="U18" s="12">
        <v>79509</v>
      </c>
      <c r="V18" s="18">
        <f t="shared" si="0"/>
        <v>8.9437776447449258E-3</v>
      </c>
      <c r="W18" s="12">
        <v>4690.2311</v>
      </c>
      <c r="X18" s="18">
        <f t="shared" si="3"/>
        <v>1.0176792266621304</v>
      </c>
    </row>
    <row r="19" spans="2:24" x14ac:dyDescent="0.25">
      <c r="B19" t="s">
        <v>134</v>
      </c>
      <c r="O19" s="12">
        <v>13615271.9</v>
      </c>
      <c r="P19" s="18">
        <f t="shared" si="2"/>
        <v>1.0073601225351614</v>
      </c>
      <c r="Q19" s="12">
        <v>9318440.1999999993</v>
      </c>
      <c r="R19" s="18">
        <f t="shared" si="1"/>
        <v>0.68441087834610181</v>
      </c>
      <c r="S19" s="12">
        <v>9438926.0500000007</v>
      </c>
      <c r="T19" s="12">
        <v>47866.8</v>
      </c>
      <c r="U19" s="12">
        <v>84992.9</v>
      </c>
      <c r="V19" s="18">
        <f t="shared" si="0"/>
        <v>9.1209363558506281E-3</v>
      </c>
      <c r="W19" s="12">
        <v>4692.8642</v>
      </c>
      <c r="X19" s="18">
        <f t="shared" si="3"/>
        <v>1.000561400908369</v>
      </c>
    </row>
    <row r="20" spans="2:24" x14ac:dyDescent="0.25">
      <c r="B20" s="31" t="s">
        <v>132</v>
      </c>
      <c r="D20" s="32">
        <f>D22</f>
        <v>0.2</v>
      </c>
      <c r="E20" s="32">
        <f>D20+$D$22</f>
        <v>0.4</v>
      </c>
      <c r="F20" s="32">
        <f t="shared" ref="F20:M20" si="20">E20+$D$22</f>
        <v>0.60000000000000009</v>
      </c>
      <c r="G20" s="32">
        <f t="shared" si="20"/>
        <v>0.8</v>
      </c>
      <c r="H20" s="32">
        <f t="shared" si="20"/>
        <v>1</v>
      </c>
      <c r="I20" s="32">
        <f t="shared" si="20"/>
        <v>1.2</v>
      </c>
      <c r="J20" s="32">
        <f t="shared" si="20"/>
        <v>1.4</v>
      </c>
      <c r="K20" s="32">
        <f t="shared" si="20"/>
        <v>1.5999999999999999</v>
      </c>
      <c r="L20" s="32">
        <f t="shared" si="20"/>
        <v>1.7999999999999998</v>
      </c>
      <c r="M20" s="32">
        <f t="shared" si="20"/>
        <v>1.9999999999999998</v>
      </c>
      <c r="O20" s="12">
        <v>14544325.699999999</v>
      </c>
      <c r="P20" s="18">
        <f t="shared" si="2"/>
        <v>1.0682361547256356</v>
      </c>
      <c r="Q20" s="12">
        <v>9987984.4000000004</v>
      </c>
      <c r="R20" s="18">
        <f t="shared" si="1"/>
        <v>0.68672722311217227</v>
      </c>
      <c r="S20" s="12">
        <v>9987984.4000000004</v>
      </c>
      <c r="T20" s="12">
        <v>51344</v>
      </c>
      <c r="U20" s="12">
        <v>91586</v>
      </c>
      <c r="V20" s="18">
        <f t="shared" si="0"/>
        <v>9.1696178460190618E-3</v>
      </c>
      <c r="W20" s="12">
        <v>4732.6019299999998</v>
      </c>
      <c r="X20" s="18">
        <f t="shared" si="3"/>
        <v>1.0084676922890716</v>
      </c>
    </row>
    <row r="21" spans="2:24" x14ac:dyDescent="0.25">
      <c r="O21" s="12">
        <v>16406490.399999999</v>
      </c>
      <c r="P21" s="18">
        <f t="shared" si="2"/>
        <v>1.1280337595850181</v>
      </c>
      <c r="Q21" s="12">
        <v>12989466.85</v>
      </c>
      <c r="R21" s="18">
        <f t="shared" si="1"/>
        <v>0.79172733066664891</v>
      </c>
      <c r="S21" s="12">
        <v>10979479.5</v>
      </c>
      <c r="T21" s="12">
        <v>57243.7</v>
      </c>
      <c r="U21" s="12">
        <v>97845.4</v>
      </c>
      <c r="V21" s="18">
        <f t="shared" si="0"/>
        <v>7.5326725207355213E-3</v>
      </c>
      <c r="W21" s="12">
        <v>4651.6728800000001</v>
      </c>
      <c r="X21" s="18">
        <f t="shared" si="3"/>
        <v>0.98289967100613518</v>
      </c>
    </row>
    <row r="22" spans="2:24" ht="15" customHeight="1" x14ac:dyDescent="0.25">
      <c r="B22" t="s">
        <v>135</v>
      </c>
      <c r="D22" s="15">
        <v>0.2</v>
      </c>
      <c r="F22" s="44" t="str">
        <f>B22</f>
        <v>параметр = прирост</v>
      </c>
      <c r="G22" s="44" t="str">
        <f>C27</f>
        <v>NPV Z</v>
      </c>
      <c r="O22" s="12">
        <v>19738622.600000001</v>
      </c>
      <c r="P22" s="18">
        <f t="shared" si="2"/>
        <v>1.2030984152466881</v>
      </c>
      <c r="Q22" s="12">
        <v>15127767.050000001</v>
      </c>
      <c r="R22" s="18">
        <f t="shared" si="1"/>
        <v>0.76640439186470888</v>
      </c>
      <c r="S22" s="12">
        <v>13819986.5</v>
      </c>
      <c r="T22" s="12">
        <v>65338.3</v>
      </c>
      <c r="U22" s="12">
        <v>108572.5</v>
      </c>
      <c r="V22" s="18">
        <f t="shared" si="0"/>
        <v>7.1770341016719977E-3</v>
      </c>
      <c r="W22" s="12">
        <v>4634.6379999999999</v>
      </c>
      <c r="X22" s="18">
        <f t="shared" si="3"/>
        <v>0.99633790241931197</v>
      </c>
    </row>
    <row r="23" spans="2:24" x14ac:dyDescent="0.25">
      <c r="F23" s="44"/>
      <c r="G23" s="44"/>
      <c r="O23" s="12">
        <v>24340433.200000003</v>
      </c>
      <c r="P23" s="18">
        <f t="shared" si="2"/>
        <v>1.2331373720068999</v>
      </c>
      <c r="Q23" s="12">
        <v>16660493.5</v>
      </c>
      <c r="R23" s="18">
        <f t="shared" si="1"/>
        <v>0.68447810123609465</v>
      </c>
      <c r="S23" s="12">
        <v>16660493.5</v>
      </c>
      <c r="T23" s="12">
        <v>74854</v>
      </c>
      <c r="U23" s="12">
        <v>124522.3</v>
      </c>
      <c r="V23" s="18">
        <f t="shared" si="0"/>
        <v>7.4741063342451414E-3</v>
      </c>
      <c r="W23" s="12">
        <v>4624.0249999999996</v>
      </c>
      <c r="X23" s="18">
        <f t="shared" si="3"/>
        <v>0.99771006926538808</v>
      </c>
    </row>
    <row r="24" spans="2:24" x14ac:dyDescent="0.25">
      <c r="B24" t="s">
        <v>136</v>
      </c>
      <c r="F24" s="44"/>
      <c r="G24" s="44"/>
      <c r="O24" s="12">
        <v>29177253.5</v>
      </c>
      <c r="P24" s="18">
        <f t="shared" si="2"/>
        <v>1.1987154567158647</v>
      </c>
      <c r="Q24" s="12">
        <v>20267549.700000003</v>
      </c>
      <c r="R24" s="18">
        <f t="shared" si="1"/>
        <v>0.6946352815558875</v>
      </c>
      <c r="S24" s="12">
        <v>20267549.700000003</v>
      </c>
      <c r="T24" s="12">
        <v>89069.3</v>
      </c>
      <c r="U24" s="12">
        <v>145843.40000000002</v>
      </c>
      <c r="V24" s="18">
        <f t="shared" si="0"/>
        <v>7.1959068638672193E-3</v>
      </c>
      <c r="W24" s="12">
        <v>4571.1329999999998</v>
      </c>
      <c r="X24" s="18">
        <f t="shared" si="3"/>
        <v>0.9885614805283276</v>
      </c>
    </row>
    <row r="25" spans="2:24" x14ac:dyDescent="0.25">
      <c r="C25" s="13" t="s">
        <v>89</v>
      </c>
      <c r="D25" s="14">
        <v>0</v>
      </c>
      <c r="F25" s="9"/>
      <c r="G25" s="33">
        <f>D27</f>
        <v>4121782.410268811</v>
      </c>
      <c r="O25" s="12">
        <v>32463740.899999999</v>
      </c>
      <c r="P25" s="18">
        <f t="shared" si="2"/>
        <v>1.1126386827327663</v>
      </c>
      <c r="Q25" s="12">
        <v>22639157.185240481</v>
      </c>
      <c r="R25" s="18">
        <f t="shared" si="1"/>
        <v>0.69736748007499294</v>
      </c>
    </row>
    <row r="26" spans="2:24" x14ac:dyDescent="0.25">
      <c r="C26" s="13" t="s">
        <v>90</v>
      </c>
      <c r="D26" s="16">
        <v>0.05</v>
      </c>
      <c r="F26" s="9">
        <v>-0.2</v>
      </c>
      <c r="G26" s="30">
        <f t="dataTable" ref="G26:G37" dt2D="0" dtr="0" r1="D22"/>
        <v>134646.58513368174</v>
      </c>
    </row>
    <row r="27" spans="2:24" x14ac:dyDescent="0.25">
      <c r="C27" t="s">
        <v>138</v>
      </c>
      <c r="D27" s="33">
        <f>NPV(D26,C7:M7)</f>
        <v>4121782.410268811</v>
      </c>
      <c r="F27" s="9">
        <v>-0.1</v>
      </c>
      <c r="G27" s="30">
        <v>704192.49127127149</v>
      </c>
      <c r="O27" t="s">
        <v>119</v>
      </c>
      <c r="P27" s="18">
        <f>MIN(P2:P25)</f>
        <v>0.99079070692640081</v>
      </c>
      <c r="R27" s="18">
        <f>MIN(R2:R25)</f>
        <v>0.56106051401335988</v>
      </c>
      <c r="V27" s="18">
        <f>MIN(V2:V24)</f>
        <v>7.1770341016719977E-3</v>
      </c>
      <c r="X27" s="18">
        <f>MIN(X2:X24)</f>
        <v>0.96415854670889856</v>
      </c>
    </row>
    <row r="28" spans="2:24" x14ac:dyDescent="0.25">
      <c r="F28" s="9">
        <v>0</v>
      </c>
      <c r="G28" s="30">
        <v>1544553.5189658443</v>
      </c>
      <c r="O28" t="s">
        <v>120</v>
      </c>
      <c r="P28" s="18">
        <f>MAX(P2:P25)</f>
        <v>1.2860853116847508</v>
      </c>
      <c r="R28" s="18">
        <f>MAX(R2:R25)</f>
        <v>0.79172733066664891</v>
      </c>
      <c r="V28" s="18">
        <f>MAX(V2:V24)</f>
        <v>9.1696178460190618E-3</v>
      </c>
      <c r="X28" s="18">
        <f>MAX(X2:X24)</f>
        <v>1.3473153931658344</v>
      </c>
    </row>
    <row r="29" spans="2:24" x14ac:dyDescent="0.25">
      <c r="F29" s="9">
        <v>0.1</v>
      </c>
      <c r="G29" s="30">
        <v>2675340.0584818199</v>
      </c>
      <c r="O29" t="s">
        <v>121</v>
      </c>
      <c r="P29" s="18">
        <f>P28-P27</f>
        <v>0.29529460475835001</v>
      </c>
      <c r="R29" s="18">
        <f>R28-R27</f>
        <v>0.23066681665328903</v>
      </c>
      <c r="V29" s="18">
        <f>V28-V27</f>
        <v>1.992583744347064E-3</v>
      </c>
      <c r="X29" s="18">
        <f>X28-X27</f>
        <v>0.38315684645693582</v>
      </c>
    </row>
    <row r="30" spans="2:24" x14ac:dyDescent="0.25">
      <c r="F30" s="9">
        <v>0.2</v>
      </c>
      <c r="G30" s="30">
        <v>4121782.410268811</v>
      </c>
    </row>
    <row r="31" spans="2:24" x14ac:dyDescent="0.25">
      <c r="F31" s="9">
        <v>0.3</v>
      </c>
      <c r="G31" s="30">
        <v>5909817.8772829091</v>
      </c>
    </row>
    <row r="32" spans="2:24" x14ac:dyDescent="0.25">
      <c r="F32" s="9">
        <v>0.4</v>
      </c>
      <c r="G32" s="30">
        <v>8066121.2268329635</v>
      </c>
    </row>
    <row r="33" spans="6:7" x14ac:dyDescent="0.25">
      <c r="F33" s="9">
        <v>0.5</v>
      </c>
      <c r="G33" s="30">
        <v>10618118.934346627</v>
      </c>
    </row>
    <row r="34" spans="6:7" x14ac:dyDescent="0.25">
      <c r="F34" s="9">
        <v>0.6</v>
      </c>
      <c r="G34" s="30">
        <v>13593996.822368843</v>
      </c>
    </row>
    <row r="35" spans="6:7" x14ac:dyDescent="0.25">
      <c r="F35" s="9">
        <v>0.7</v>
      </c>
      <c r="G35" s="30">
        <v>17022704.180936135</v>
      </c>
    </row>
    <row r="36" spans="6:7" x14ac:dyDescent="0.25">
      <c r="F36" s="9">
        <v>0.8</v>
      </c>
      <c r="G36" s="30">
        <v>20933956.130317111</v>
      </c>
    </row>
    <row r="37" spans="6:7" x14ac:dyDescent="0.25">
      <c r="F37" s="9">
        <v>0.9</v>
      </c>
      <c r="G37" s="30">
        <v>25358235.077120788</v>
      </c>
    </row>
  </sheetData>
  <mergeCells count="3">
    <mergeCell ref="D5:M5"/>
    <mergeCell ref="F22:F24"/>
    <mergeCell ref="G22:G24"/>
  </mergeCells>
  <conditionalFormatting sqref="G26:G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2"/>
  <sheetViews>
    <sheetView zoomScale="85" zoomScaleNormal="85" workbookViewId="0">
      <selection activeCell="H28" sqref="H28"/>
    </sheetView>
  </sheetViews>
  <sheetFormatPr defaultRowHeight="15" x14ac:dyDescent="0.25"/>
  <cols>
    <col min="1" max="1" width="5.85546875" customWidth="1"/>
    <col min="3" max="3" width="11.85546875" bestFit="1" customWidth="1"/>
    <col min="4" max="4" width="12.140625" customWidth="1"/>
    <col min="5" max="5" width="12.7109375" customWidth="1"/>
    <col min="8" max="8" width="12.85546875" customWidth="1"/>
  </cols>
  <sheetData>
    <row r="1" spans="1:8" x14ac:dyDescent="0.25">
      <c r="C1" s="13" t="s">
        <v>99</v>
      </c>
      <c r="D1" s="25">
        <f>F1/100</f>
        <v>0.18</v>
      </c>
      <c r="F1">
        <v>18</v>
      </c>
    </row>
    <row r="2" spans="1:8" x14ac:dyDescent="0.25">
      <c r="C2" s="45" t="s">
        <v>96</v>
      </c>
      <c r="D2" s="46"/>
    </row>
    <row r="3" spans="1:8" x14ac:dyDescent="0.25">
      <c r="C3" s="10" t="s">
        <v>97</v>
      </c>
      <c r="D3" s="10" t="s">
        <v>98</v>
      </c>
    </row>
    <row r="4" spans="1:8" x14ac:dyDescent="0.25">
      <c r="C4" s="26">
        <f>1+$D$1</f>
        <v>1.18</v>
      </c>
      <c r="D4" s="26">
        <f>1-$D$1</f>
        <v>0.82000000000000006</v>
      </c>
      <c r="G4" s="47" t="str">
        <f>C1</f>
        <v>степень кривизны k</v>
      </c>
      <c r="H4" s="47" t="str">
        <f>D6</f>
        <v>R^2</v>
      </c>
    </row>
    <row r="5" spans="1:8" x14ac:dyDescent="0.25">
      <c r="D5" s="28"/>
      <c r="G5" s="47"/>
      <c r="H5" s="47"/>
    </row>
    <row r="6" spans="1:8" x14ac:dyDescent="0.25">
      <c r="D6" t="s">
        <v>102</v>
      </c>
      <c r="E6" s="21">
        <f>CORREL(D9:D31,E9:E31)^2</f>
        <v>0.99218392655726106</v>
      </c>
      <c r="G6" s="47"/>
      <c r="H6" s="47"/>
    </row>
    <row r="7" spans="1:8" x14ac:dyDescent="0.25">
      <c r="C7" s="10" t="s">
        <v>95</v>
      </c>
      <c r="D7" s="10" t="s">
        <v>94</v>
      </c>
      <c r="E7" s="10" t="s">
        <v>100</v>
      </c>
      <c r="G7" s="9"/>
      <c r="H7" s="34">
        <f>E6</f>
        <v>0.99218392655726106</v>
      </c>
    </row>
    <row r="8" spans="1:8" x14ac:dyDescent="0.25">
      <c r="A8" s="11" t="s">
        <v>59</v>
      </c>
      <c r="B8" s="11" t="s">
        <v>60</v>
      </c>
      <c r="C8" s="11" t="s">
        <v>86</v>
      </c>
      <c r="D8" s="11" t="s">
        <v>61</v>
      </c>
      <c r="E8" s="27" t="s">
        <v>101</v>
      </c>
      <c r="G8" s="17">
        <v>0</v>
      </c>
      <c r="H8" s="35">
        <f t="dataTable" ref="H8:H19" dt2D="0" dtr="0" r1="D1"/>
        <v>0.99144007460644457</v>
      </c>
    </row>
    <row r="9" spans="1:8" x14ac:dyDescent="0.25">
      <c r="A9" s="9">
        <v>1</v>
      </c>
      <c r="B9" s="9" t="s">
        <v>62</v>
      </c>
      <c r="C9" s="12">
        <v>663998.76369988162</v>
      </c>
      <c r="D9" s="12">
        <v>1523670.1312683504</v>
      </c>
      <c r="E9" s="12">
        <f t="shared" ref="E9:E31" si="0">TREND($D$9:$D$31,$C$9:$C$31^$C$4:$D$4,C9^$C$4:$D$4)</f>
        <v>2178306.6757331211</v>
      </c>
      <c r="G9" s="36">
        <v>9.9999999999999995E-7</v>
      </c>
      <c r="H9" s="35">
        <v>0.99189816551929655</v>
      </c>
    </row>
    <row r="10" spans="1:8" x14ac:dyDescent="0.25">
      <c r="A10" s="9">
        <v>2</v>
      </c>
      <c r="B10" s="9" t="s">
        <v>63</v>
      </c>
      <c r="C10" s="12">
        <v>884858.70150511106</v>
      </c>
      <c r="D10" s="12">
        <v>1899714.2822209885</v>
      </c>
      <c r="E10" s="12">
        <f t="shared" si="0"/>
        <v>2462355.9928206885</v>
      </c>
      <c r="G10" s="36">
        <v>1.9999999999999999E-6</v>
      </c>
      <c r="H10" s="35">
        <v>0.99189816552071719</v>
      </c>
    </row>
    <row r="11" spans="1:8" x14ac:dyDescent="0.25">
      <c r="A11" s="9">
        <v>3</v>
      </c>
      <c r="B11" s="9" t="s">
        <v>64</v>
      </c>
      <c r="C11" s="12">
        <v>1090317.1051120984</v>
      </c>
      <c r="D11" s="12">
        <v>2271976.8034374709</v>
      </c>
      <c r="E11" s="12">
        <f t="shared" si="0"/>
        <v>2725939.0392631404</v>
      </c>
      <c r="G11" s="36">
        <v>3.0000000000000001E-6</v>
      </c>
      <c r="H11" s="35">
        <v>0.99189816551971099</v>
      </c>
    </row>
    <row r="12" spans="1:8" x14ac:dyDescent="0.25">
      <c r="A12" s="9">
        <v>4</v>
      </c>
      <c r="B12" s="9" t="s">
        <v>65</v>
      </c>
      <c r="C12" s="12">
        <v>1303045.6589160857</v>
      </c>
      <c r="D12" s="12">
        <v>2745199.6299384595</v>
      </c>
      <c r="E12" s="12">
        <f t="shared" si="0"/>
        <v>2998691.9934166931</v>
      </c>
      <c r="G12" s="36">
        <v>3.9999999999999998E-6</v>
      </c>
      <c r="H12" s="35">
        <v>0.99189816551945786</v>
      </c>
    </row>
    <row r="13" spans="1:8" x14ac:dyDescent="0.25">
      <c r="A13" s="9">
        <v>5</v>
      </c>
      <c r="B13" s="9" t="s">
        <v>66</v>
      </c>
      <c r="C13" s="12">
        <v>1615629.3744707303</v>
      </c>
      <c r="D13" s="12">
        <v>3476075.5445336094</v>
      </c>
      <c r="E13" s="12">
        <f t="shared" si="0"/>
        <v>3399754.4609846282</v>
      </c>
      <c r="G13" s="36">
        <v>5.0000000000000004E-6</v>
      </c>
      <c r="H13" s="35">
        <v>0.99189816551966992</v>
      </c>
    </row>
    <row r="14" spans="1:8" x14ac:dyDescent="0.25">
      <c r="A14" s="9">
        <v>6</v>
      </c>
      <c r="B14" s="9" t="s">
        <v>67</v>
      </c>
      <c r="C14" s="12">
        <v>1992232.5563758044</v>
      </c>
      <c r="D14" s="12">
        <v>4183589.0473623835</v>
      </c>
      <c r="E14" s="12">
        <f t="shared" si="0"/>
        <v>3883986.6172764599</v>
      </c>
      <c r="G14" s="36">
        <v>6.0000000000000002E-6</v>
      </c>
      <c r="H14" s="35">
        <v>0.9918981655202338</v>
      </c>
    </row>
    <row r="15" spans="1:8" x14ac:dyDescent="0.25">
      <c r="A15" s="9">
        <v>7</v>
      </c>
      <c r="B15" s="9" t="s">
        <v>68</v>
      </c>
      <c r="C15" s="12">
        <v>2560198.7919133157</v>
      </c>
      <c r="D15" s="12">
        <v>5380452.4239379605</v>
      </c>
      <c r="E15" s="12">
        <f t="shared" si="0"/>
        <v>4617205.7537447214</v>
      </c>
      <c r="G15" s="36">
        <v>6.9999999999999999E-6</v>
      </c>
      <c r="H15" s="35">
        <v>0.99189816551994037</v>
      </c>
    </row>
    <row r="16" spans="1:8" x14ac:dyDescent="0.25">
      <c r="A16" s="9">
        <v>8</v>
      </c>
      <c r="B16" s="9" t="s">
        <v>69</v>
      </c>
      <c r="C16" s="12">
        <v>2993345.5938084461</v>
      </c>
      <c r="D16" s="12">
        <v>5857652.2365358304</v>
      </c>
      <c r="E16" s="12">
        <f t="shared" si="0"/>
        <v>5179056.6735167932</v>
      </c>
      <c r="G16" s="36">
        <v>7.9999999999999996E-6</v>
      </c>
      <c r="H16" s="35">
        <v>0.99189816552032628</v>
      </c>
    </row>
    <row r="17" spans="1:8" x14ac:dyDescent="0.25">
      <c r="A17" s="9">
        <v>9</v>
      </c>
      <c r="B17" s="9" t="s">
        <v>70</v>
      </c>
      <c r="C17" s="12">
        <v>3292699.1332117636</v>
      </c>
      <c r="D17" s="12">
        <v>6511019.5831007604</v>
      </c>
      <c r="E17" s="12">
        <f t="shared" si="0"/>
        <v>5568768.261528749</v>
      </c>
      <c r="G17" s="36">
        <v>9.0000000000000002E-6</v>
      </c>
      <c r="H17" s="35">
        <v>0.99189816552017562</v>
      </c>
    </row>
    <row r="18" spans="1:8" x14ac:dyDescent="0.25">
      <c r="A18" s="9">
        <v>10</v>
      </c>
      <c r="B18" s="9" t="s">
        <v>71</v>
      </c>
      <c r="C18" s="12">
        <v>3631807.6</v>
      </c>
      <c r="D18" s="12">
        <v>7448243.4494492188</v>
      </c>
      <c r="E18" s="12">
        <f t="shared" si="0"/>
        <v>6011634.4049066035</v>
      </c>
      <c r="G18" s="36">
        <v>1.0000000000000001E-5</v>
      </c>
      <c r="H18" s="35">
        <v>0.99189816552024312</v>
      </c>
    </row>
    <row r="19" spans="1:8" x14ac:dyDescent="0.25">
      <c r="A19" s="9">
        <v>11</v>
      </c>
      <c r="B19" s="9" t="s">
        <v>72</v>
      </c>
      <c r="C19" s="12">
        <v>6188755.7403909471</v>
      </c>
      <c r="D19" s="12">
        <v>8915955.3337932099</v>
      </c>
      <c r="E19" s="12">
        <f t="shared" si="0"/>
        <v>9397067.0831110924</v>
      </c>
      <c r="G19" s="36">
        <v>1.1E-5</v>
      </c>
      <c r="H19" s="35">
        <v>0.99189816552081433</v>
      </c>
    </row>
    <row r="20" spans="1:8" x14ac:dyDescent="0.25">
      <c r="A20" s="9">
        <v>12</v>
      </c>
      <c r="B20" s="9" t="s">
        <v>73</v>
      </c>
      <c r="C20" s="12">
        <v>7066670.2263727253</v>
      </c>
      <c r="D20" s="12">
        <v>10017461.84195617</v>
      </c>
      <c r="E20" s="12">
        <f t="shared" si="0"/>
        <v>10576980.761914995</v>
      </c>
    </row>
    <row r="21" spans="1:8" x14ac:dyDescent="0.25">
      <c r="A21" s="9">
        <v>13</v>
      </c>
      <c r="B21" s="9" t="s">
        <v>74</v>
      </c>
      <c r="C21" s="12">
        <v>7517411.2509606024</v>
      </c>
      <c r="D21" s="12">
        <v>9925208.0999999996</v>
      </c>
      <c r="E21" s="12">
        <f t="shared" si="0"/>
        <v>11185996.825418802</v>
      </c>
    </row>
    <row r="22" spans="1:8" x14ac:dyDescent="0.25">
      <c r="A22" s="9">
        <v>14</v>
      </c>
      <c r="B22" s="9" t="s">
        <v>75</v>
      </c>
      <c r="C22" s="12">
        <v>7806214.914021723</v>
      </c>
      <c r="D22" s="12">
        <v>10706582.1</v>
      </c>
      <c r="E22" s="12">
        <f t="shared" si="0"/>
        <v>11577324.996570691</v>
      </c>
    </row>
    <row r="23" spans="1:8" x14ac:dyDescent="0.25">
      <c r="A23" s="9">
        <v>15</v>
      </c>
      <c r="B23" s="9" t="s">
        <v>76</v>
      </c>
      <c r="C23" s="12">
        <v>8342022.5787704289</v>
      </c>
      <c r="D23" s="12">
        <v>11852881.700000001</v>
      </c>
      <c r="E23" s="12">
        <f t="shared" si="0"/>
        <v>12305589.061858334</v>
      </c>
    </row>
    <row r="24" spans="1:8" x14ac:dyDescent="0.25">
      <c r="A24" s="9">
        <v>16</v>
      </c>
      <c r="B24" s="9" t="s">
        <v>77</v>
      </c>
      <c r="C24" s="12">
        <v>8435287.0999999996</v>
      </c>
      <c r="D24" s="12">
        <v>12766002.800000001</v>
      </c>
      <c r="E24" s="12">
        <f t="shared" si="0"/>
        <v>12432646.319003768</v>
      </c>
    </row>
    <row r="25" spans="1:8" x14ac:dyDescent="0.25">
      <c r="A25" s="9">
        <v>17</v>
      </c>
      <c r="B25" s="9" t="s">
        <v>78</v>
      </c>
      <c r="C25" s="12">
        <v>8889867.7000000011</v>
      </c>
      <c r="D25" s="12">
        <v>13515794</v>
      </c>
      <c r="E25" s="12">
        <f t="shared" si="0"/>
        <v>13053155.448996868</v>
      </c>
    </row>
    <row r="26" spans="1:8" x14ac:dyDescent="0.25">
      <c r="A26" s="9">
        <v>18</v>
      </c>
      <c r="B26" s="9" t="s">
        <v>79</v>
      </c>
      <c r="C26" s="12">
        <v>9438926.0500000007</v>
      </c>
      <c r="D26" s="12">
        <v>13615271.9</v>
      </c>
      <c r="E26" s="12">
        <f t="shared" si="0"/>
        <v>13805273.014900396</v>
      </c>
    </row>
    <row r="27" spans="1:8" x14ac:dyDescent="0.25">
      <c r="A27" s="9">
        <v>19</v>
      </c>
      <c r="B27" s="9" t="s">
        <v>80</v>
      </c>
      <c r="C27" s="12">
        <v>9987984.4000000004</v>
      </c>
      <c r="D27" s="12">
        <v>14544325.699999999</v>
      </c>
      <c r="E27" s="12">
        <f t="shared" si="0"/>
        <v>14560205.823988281</v>
      </c>
    </row>
    <row r="28" spans="1:8" x14ac:dyDescent="0.25">
      <c r="A28" s="9">
        <v>20</v>
      </c>
      <c r="B28" s="9" t="s">
        <v>81</v>
      </c>
      <c r="C28" s="12">
        <v>10979479.5</v>
      </c>
      <c r="D28" s="12">
        <v>16406490.399999999</v>
      </c>
      <c r="E28" s="12">
        <f t="shared" si="0"/>
        <v>15930353.093783371</v>
      </c>
    </row>
    <row r="29" spans="1:8" x14ac:dyDescent="0.25">
      <c r="A29" s="9">
        <v>21</v>
      </c>
      <c r="B29" s="9" t="s">
        <v>82</v>
      </c>
      <c r="C29" s="12">
        <v>13819986.5</v>
      </c>
      <c r="D29" s="12">
        <v>19738622.600000001</v>
      </c>
      <c r="E29" s="12">
        <f t="shared" si="0"/>
        <v>19901410.323732622</v>
      </c>
    </row>
    <row r="30" spans="1:8" x14ac:dyDescent="0.25">
      <c r="A30" s="9">
        <v>22</v>
      </c>
      <c r="B30" s="9" t="s">
        <v>83</v>
      </c>
      <c r="C30" s="12">
        <v>16660493.5</v>
      </c>
      <c r="D30" s="12">
        <v>24340433.200000003</v>
      </c>
      <c r="E30" s="12">
        <f t="shared" si="0"/>
        <v>23934108.383224774</v>
      </c>
    </row>
    <row r="31" spans="1:8" x14ac:dyDescent="0.25">
      <c r="A31" s="9">
        <v>23</v>
      </c>
      <c r="B31" s="9" t="s">
        <v>84</v>
      </c>
      <c r="C31" s="12">
        <v>20267549.700000003</v>
      </c>
      <c r="D31" s="12">
        <v>29177253.5</v>
      </c>
      <c r="E31" s="12">
        <f t="shared" si="0"/>
        <v>29134065.297838807</v>
      </c>
    </row>
    <row r="32" spans="1:8" x14ac:dyDescent="0.25">
      <c r="A32" s="9">
        <v>24</v>
      </c>
      <c r="B32" s="9" t="s">
        <v>85</v>
      </c>
      <c r="D32" s="12">
        <v>32463740.899999999</v>
      </c>
    </row>
  </sheetData>
  <mergeCells count="3">
    <mergeCell ref="C2:D2"/>
    <mergeCell ref="G4:G6"/>
    <mergeCell ref="H4:H6"/>
  </mergeCells>
  <conditionalFormatting sqref="H8:H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3" name="Spinner 1">
              <controlPr defaultSize="0" autoPict="0">
                <anchor moveWithCells="1" sizeWithCells="1">
                  <from>
                    <xdr:col>4</xdr:col>
                    <xdr:colOff>285750</xdr:colOff>
                    <xdr:row>0</xdr:row>
                    <xdr:rowOff>28575</xdr:rowOff>
                  </from>
                  <to>
                    <xdr:col>4</xdr:col>
                    <xdr:colOff>514350</xdr:colOff>
                    <xdr:row>3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2"/>
  <sheetViews>
    <sheetView zoomScaleNormal="100" workbookViewId="0">
      <selection activeCell="G1" sqref="G1"/>
    </sheetView>
  </sheetViews>
  <sheetFormatPr defaultRowHeight="15" x14ac:dyDescent="0.25"/>
  <cols>
    <col min="1" max="1" width="4.42578125" customWidth="1"/>
    <col min="3" max="3" width="11.85546875" bestFit="1" customWidth="1"/>
    <col min="4" max="4" width="10.7109375" bestFit="1" customWidth="1"/>
    <col min="5" max="5" width="11.5703125" bestFit="1" customWidth="1"/>
    <col min="6" max="6" width="11.5703125" customWidth="1"/>
    <col min="9" max="17" width="7.140625" customWidth="1"/>
    <col min="18" max="19" width="4.85546875" customWidth="1"/>
  </cols>
  <sheetData>
    <row r="1" spans="1:17" x14ac:dyDescent="0.25">
      <c r="E1" s="13" t="s">
        <v>89</v>
      </c>
      <c r="F1" s="15">
        <v>2012</v>
      </c>
    </row>
    <row r="2" spans="1:17" x14ac:dyDescent="0.25">
      <c r="E2" s="13" t="s">
        <v>90</v>
      </c>
      <c r="F2" s="16">
        <v>0.05</v>
      </c>
    </row>
    <row r="4" spans="1:17" x14ac:dyDescent="0.25">
      <c r="C4" t="s">
        <v>87</v>
      </c>
      <c r="D4" s="19">
        <f>CORREL(C8:C30,D8:D30)</f>
        <v>0.99571083885154332</v>
      </c>
      <c r="E4" s="20"/>
      <c r="F4" s="21">
        <f>CORREL(E8:E30,F8:F30)</f>
        <v>0.99102859699513013</v>
      </c>
      <c r="H4" s="48" t="str">
        <f>E1</f>
        <v>базовый год</v>
      </c>
    </row>
    <row r="5" spans="1:17" x14ac:dyDescent="0.25">
      <c r="C5" s="43" t="s">
        <v>91</v>
      </c>
      <c r="D5" s="43"/>
      <c r="E5" s="45" t="str">
        <f>"Цены "&amp;F1&amp;" года"</f>
        <v>Цены 2012 года</v>
      </c>
      <c r="F5" s="46"/>
      <c r="H5" s="48"/>
      <c r="I5" s="45" t="str">
        <f>E2</f>
        <v xml:space="preserve">ставка </v>
      </c>
      <c r="J5" s="49"/>
      <c r="K5" s="49"/>
      <c r="L5" s="49"/>
      <c r="M5" s="49"/>
      <c r="N5" s="49"/>
      <c r="O5" s="49"/>
      <c r="P5" s="49"/>
      <c r="Q5" s="46"/>
    </row>
    <row r="6" spans="1:17" x14ac:dyDescent="0.25">
      <c r="C6" s="10" t="s">
        <v>57</v>
      </c>
      <c r="D6" s="10" t="s">
        <v>58</v>
      </c>
      <c r="E6" s="10" t="s">
        <v>92</v>
      </c>
      <c r="F6" s="10" t="s">
        <v>93</v>
      </c>
    </row>
    <row r="7" spans="1:17" x14ac:dyDescent="0.25">
      <c r="A7" s="11" t="s">
        <v>59</v>
      </c>
      <c r="B7" s="11" t="s">
        <v>60</v>
      </c>
      <c r="C7" s="11" t="s">
        <v>61</v>
      </c>
      <c r="D7" s="11" t="s">
        <v>86</v>
      </c>
      <c r="E7" s="11" t="s">
        <v>61</v>
      </c>
      <c r="F7" s="11" t="s">
        <v>86</v>
      </c>
      <c r="H7" s="22">
        <f>F4</f>
        <v>0.99102859699513013</v>
      </c>
      <c r="I7" s="23">
        <v>-0.05</v>
      </c>
      <c r="J7" s="23">
        <v>0</v>
      </c>
      <c r="K7" s="23">
        <v>0.05</v>
      </c>
      <c r="L7" s="23">
        <v>0.1</v>
      </c>
      <c r="M7" s="23">
        <v>0.15</v>
      </c>
      <c r="N7" s="23">
        <v>0.2</v>
      </c>
      <c r="O7" s="23">
        <v>0.25</v>
      </c>
      <c r="P7" s="23">
        <v>0.3</v>
      </c>
      <c r="Q7" s="23">
        <v>0.35</v>
      </c>
    </row>
    <row r="8" spans="1:17" x14ac:dyDescent="0.25">
      <c r="A8" s="9">
        <f>B8-$F$1</f>
        <v>-10</v>
      </c>
      <c r="B8" s="9" t="s">
        <v>62</v>
      </c>
      <c r="C8" s="12">
        <v>1523670.1312683504</v>
      </c>
      <c r="D8" s="12">
        <v>663998.76369988162</v>
      </c>
      <c r="E8" s="12">
        <f>IF($A8&gt;=0, C8*(1+$F$2)^-$A8, MAX(C8*(1+$F$2*$A8),0))</f>
        <v>761835.0656341752</v>
      </c>
      <c r="F8" s="12">
        <f>IF($A8&gt;=0, D8*(1+$F$2)^-$A8, MAX(D8*(1+$F$2*$A8),0))</f>
        <v>331999.38184994081</v>
      </c>
      <c r="H8" s="23" t="s">
        <v>62</v>
      </c>
      <c r="I8" s="24">
        <f t="dataTable" ref="I8:Q32" dt2D="1" dtr="1" r1="F2" r2="F1"/>
        <v>0.99873169694948694</v>
      </c>
      <c r="J8" s="24">
        <v>0.99571083885154332</v>
      </c>
      <c r="K8" s="24">
        <v>0.98366031568204093</v>
      </c>
      <c r="L8" s="24">
        <v>0.89454701520226432</v>
      </c>
      <c r="M8" s="24">
        <v>0.61407066980604585</v>
      </c>
      <c r="N8" s="24">
        <v>0.86440770421324531</v>
      </c>
      <c r="O8" s="24">
        <v>0.95433345408044801</v>
      </c>
      <c r="P8" s="24">
        <v>0.98092898200818313</v>
      </c>
      <c r="Q8" s="24">
        <v>0.99083754032584392</v>
      </c>
    </row>
    <row r="9" spans="1:17" x14ac:dyDescent="0.25">
      <c r="A9" s="9">
        <f>B9-$F$1</f>
        <v>-9</v>
      </c>
      <c r="B9" s="9" t="s">
        <v>63</v>
      </c>
      <c r="C9" s="12">
        <v>1899714.2822209885</v>
      </c>
      <c r="D9" s="12">
        <v>884858.70150511106</v>
      </c>
      <c r="E9" s="12">
        <f t="shared" ref="E9:E32" si="0">IF($A9&gt;=0, C9*(1+$F$2)^-$A9, MAX(C9*(1+F$2*$A9),0))</f>
        <v>1044842.8552215438</v>
      </c>
      <c r="F9" s="12">
        <f t="shared" ref="F9:F32" si="1">IF($A9&gt;=0, D9*(1+$F$2)^-$A9, MAX(D9*(1+$F$2*$A9),0))</f>
        <v>486672.28582781111</v>
      </c>
      <c r="H9" s="23" t="s">
        <v>63</v>
      </c>
      <c r="I9" s="24">
        <v>0.99873400109510591</v>
      </c>
      <c r="J9" s="24">
        <v>0.99571083885154332</v>
      </c>
      <c r="K9" s="24">
        <v>0.98352856111095088</v>
      </c>
      <c r="L9" s="24">
        <v>0.89593903143486719</v>
      </c>
      <c r="M9" s="24">
        <v>0.66341383912651364</v>
      </c>
      <c r="N9" s="24">
        <v>0.86646924376131029</v>
      </c>
      <c r="O9" s="24">
        <v>0.95119309025874366</v>
      </c>
      <c r="P9" s="24">
        <v>0.97857221865685462</v>
      </c>
      <c r="Q9" s="24">
        <v>0.98941751546808587</v>
      </c>
    </row>
    <row r="10" spans="1:17" x14ac:dyDescent="0.25">
      <c r="A10" s="9">
        <f t="shared" ref="A10:A32" si="2">B10-$F$1</f>
        <v>-8</v>
      </c>
      <c r="B10" s="9" t="s">
        <v>64</v>
      </c>
      <c r="C10" s="12">
        <v>2271976.8034374709</v>
      </c>
      <c r="D10" s="12">
        <v>1090317.1051120984</v>
      </c>
      <c r="E10" s="12">
        <f>IF($A10&gt;=0, C10*(1+$F$2)^-$A10, MAX(C10*(1+F$2*$A10),0))</f>
        <v>1363186.0820624826</v>
      </c>
      <c r="F10" s="12">
        <f t="shared" si="1"/>
        <v>654190.26306725899</v>
      </c>
      <c r="H10" s="23" t="s">
        <v>64</v>
      </c>
      <c r="I10" s="24">
        <v>0.99873822838222714</v>
      </c>
      <c r="J10" s="24">
        <v>0.99571083885154332</v>
      </c>
      <c r="K10" s="24">
        <v>0.98330612564731468</v>
      </c>
      <c r="L10" s="24">
        <v>0.8999519215737406</v>
      </c>
      <c r="M10" s="24">
        <v>0.73324710918336133</v>
      </c>
      <c r="N10" s="24">
        <v>0.87458521463154204</v>
      </c>
      <c r="O10" s="24">
        <v>0.94807537924380392</v>
      </c>
      <c r="P10" s="24">
        <v>0.97539446781203487</v>
      </c>
      <c r="Q10" s="24">
        <v>0.98720685312922785</v>
      </c>
    </row>
    <row r="11" spans="1:17" x14ac:dyDescent="0.25">
      <c r="A11" s="9">
        <f t="shared" si="2"/>
        <v>-7</v>
      </c>
      <c r="B11" s="9" t="s">
        <v>65</v>
      </c>
      <c r="C11" s="12">
        <v>2745199.6299384595</v>
      </c>
      <c r="D11" s="12">
        <v>1303045.6589160857</v>
      </c>
      <c r="E11" s="12">
        <f>IF($A11&gt;=0, C11*(1+$F$2)^-$A11, MAX(C11*(1+F$2*$A11),0))</f>
        <v>1784379.7594599985</v>
      </c>
      <c r="F11" s="12">
        <f t="shared" si="1"/>
        <v>846979.67829545564</v>
      </c>
      <c r="H11" s="23" t="s">
        <v>65</v>
      </c>
      <c r="I11" s="24">
        <v>0.99874365871949666</v>
      </c>
      <c r="J11" s="24">
        <v>0.99571083885154332</v>
      </c>
      <c r="K11" s="24">
        <v>0.98306112768563458</v>
      </c>
      <c r="L11" s="24">
        <v>0.90726436587841264</v>
      </c>
      <c r="M11" s="24">
        <v>0.79818271291689047</v>
      </c>
      <c r="N11" s="24">
        <v>0.88901152546032058</v>
      </c>
      <c r="O11" s="24">
        <v>0.94746514368039902</v>
      </c>
      <c r="P11" s="24">
        <v>0.97288286285943937</v>
      </c>
      <c r="Q11" s="24">
        <v>0.98485443390898475</v>
      </c>
    </row>
    <row r="12" spans="1:17" x14ac:dyDescent="0.25">
      <c r="A12" s="9">
        <f t="shared" si="2"/>
        <v>-6</v>
      </c>
      <c r="B12" s="9" t="s">
        <v>66</v>
      </c>
      <c r="C12" s="12">
        <v>3476075.5445336094</v>
      </c>
      <c r="D12" s="12">
        <v>1615629.3744707303</v>
      </c>
      <c r="E12" s="12">
        <f t="shared" si="0"/>
        <v>2433252.8811735264</v>
      </c>
      <c r="F12" s="12">
        <f t="shared" si="1"/>
        <v>1130940.562129511</v>
      </c>
      <c r="H12" s="23" t="s">
        <v>66</v>
      </c>
      <c r="I12" s="24">
        <v>0.99874829612711846</v>
      </c>
      <c r="J12" s="24">
        <v>0.99571083885154332</v>
      </c>
      <c r="K12" s="24">
        <v>0.98292235799547412</v>
      </c>
      <c r="L12" s="24">
        <v>0.91751950537239502</v>
      </c>
      <c r="M12" s="24">
        <v>0.8494539967112873</v>
      </c>
      <c r="N12" s="24">
        <v>0.90634429840646702</v>
      </c>
      <c r="O12" s="24">
        <v>0.94987965127348428</v>
      </c>
      <c r="P12" s="24">
        <v>0.97062583966040938</v>
      </c>
      <c r="Q12" s="24">
        <v>0.98184106572413909</v>
      </c>
    </row>
    <row r="13" spans="1:17" x14ac:dyDescent="0.25">
      <c r="A13" s="9">
        <f t="shared" si="2"/>
        <v>-5</v>
      </c>
      <c r="B13" s="9" t="s">
        <v>67</v>
      </c>
      <c r="C13" s="12">
        <v>4183589.0473623835</v>
      </c>
      <c r="D13" s="12">
        <v>1992232.5563758044</v>
      </c>
      <c r="E13" s="12">
        <f t="shared" si="0"/>
        <v>3137691.7855217876</v>
      </c>
      <c r="F13" s="12">
        <f t="shared" si="1"/>
        <v>1494174.4172818533</v>
      </c>
      <c r="H13" s="23" t="s">
        <v>67</v>
      </c>
      <c r="I13" s="24">
        <v>0.99874629593860664</v>
      </c>
      <c r="J13" s="24">
        <v>0.99571083885154332</v>
      </c>
      <c r="K13" s="24">
        <v>0.98311406835702875</v>
      </c>
      <c r="L13" s="24">
        <v>0.92998053788337809</v>
      </c>
      <c r="M13" s="24">
        <v>0.88805114876309676</v>
      </c>
      <c r="N13" s="24">
        <v>0.92322638078550678</v>
      </c>
      <c r="O13" s="24">
        <v>0.95232257680509258</v>
      </c>
      <c r="P13" s="24">
        <v>0.96878173196473005</v>
      </c>
      <c r="Q13" s="24">
        <v>0.97887317452109168</v>
      </c>
    </row>
    <row r="14" spans="1:17" x14ac:dyDescent="0.25">
      <c r="A14" s="9">
        <f t="shared" si="2"/>
        <v>-4</v>
      </c>
      <c r="B14" s="9" t="s">
        <v>68</v>
      </c>
      <c r="C14" s="12">
        <v>5380452.4239379605</v>
      </c>
      <c r="D14" s="12">
        <v>2560198.7919133157</v>
      </c>
      <c r="E14" s="12">
        <f t="shared" si="0"/>
        <v>4304361.9391503688</v>
      </c>
      <c r="F14" s="12">
        <f t="shared" si="1"/>
        <v>2048159.0335306525</v>
      </c>
      <c r="H14" s="23" t="s">
        <v>68</v>
      </c>
      <c r="I14" s="24">
        <v>0.99873020723853034</v>
      </c>
      <c r="J14" s="24">
        <v>0.99571083885154332</v>
      </c>
      <c r="K14" s="24">
        <v>0.98371917121998731</v>
      </c>
      <c r="L14" s="24">
        <v>0.94259522064113976</v>
      </c>
      <c r="M14" s="24">
        <v>0.91653713823216176</v>
      </c>
      <c r="N14" s="24">
        <v>0.93613681109819979</v>
      </c>
      <c r="O14" s="24">
        <v>0.95508599970143448</v>
      </c>
      <c r="P14" s="24">
        <v>0.96751452106412772</v>
      </c>
      <c r="Q14" s="24">
        <v>0.97605590710822177</v>
      </c>
    </row>
    <row r="15" spans="1:17" x14ac:dyDescent="0.25">
      <c r="A15" s="9">
        <f t="shared" si="2"/>
        <v>-3</v>
      </c>
      <c r="B15" s="9" t="s">
        <v>69</v>
      </c>
      <c r="C15" s="12">
        <v>5857652.2365358304</v>
      </c>
      <c r="D15" s="12">
        <v>2993345.5938084461</v>
      </c>
      <c r="E15" s="12">
        <f t="shared" si="0"/>
        <v>4979004.4010554561</v>
      </c>
      <c r="F15" s="12">
        <f t="shared" si="1"/>
        <v>2544343.7547371793</v>
      </c>
      <c r="H15" s="23" t="s">
        <v>69</v>
      </c>
      <c r="I15" s="24">
        <v>0.99867990090774406</v>
      </c>
      <c r="J15" s="24">
        <v>0.99571083885154332</v>
      </c>
      <c r="K15" s="24">
        <v>0.9850110474263406</v>
      </c>
      <c r="L15" s="24">
        <v>0.95551897244509565</v>
      </c>
      <c r="M15" s="24">
        <v>0.93881407889870927</v>
      </c>
      <c r="N15" s="24">
        <v>0.94779750072935265</v>
      </c>
      <c r="O15" s="24">
        <v>0.95903799013861157</v>
      </c>
      <c r="P15" s="24">
        <v>0.96745256488463349</v>
      </c>
      <c r="Q15" s="24">
        <v>0.97390054289619843</v>
      </c>
    </row>
    <row r="16" spans="1:17" x14ac:dyDescent="0.25">
      <c r="A16" s="9">
        <f t="shared" si="2"/>
        <v>-2</v>
      </c>
      <c r="B16" s="9" t="s">
        <v>70</v>
      </c>
      <c r="C16" s="12">
        <v>6511019.5831007604</v>
      </c>
      <c r="D16" s="12">
        <v>3292699.1332117636</v>
      </c>
      <c r="E16" s="12">
        <f t="shared" si="0"/>
        <v>5859917.6247906843</v>
      </c>
      <c r="F16" s="12">
        <f t="shared" si="1"/>
        <v>2963429.2198905875</v>
      </c>
      <c r="H16" s="23" t="s">
        <v>70</v>
      </c>
      <c r="I16" s="24">
        <v>0.99859089016590652</v>
      </c>
      <c r="J16" s="24">
        <v>0.99571083885154332</v>
      </c>
      <c r="K16" s="24">
        <v>0.98659853240707363</v>
      </c>
      <c r="L16" s="24">
        <v>0.96630678084431354</v>
      </c>
      <c r="M16" s="24">
        <v>0.95520520701987033</v>
      </c>
      <c r="N16" s="24">
        <v>0.95816337288242981</v>
      </c>
      <c r="O16" s="24">
        <v>0.96366829725415393</v>
      </c>
      <c r="P16" s="24">
        <v>0.9681840621246891</v>
      </c>
      <c r="Q16" s="24">
        <v>0.97199521899071806</v>
      </c>
    </row>
    <row r="17" spans="1:17" x14ac:dyDescent="0.25">
      <c r="A17" s="9">
        <f t="shared" si="2"/>
        <v>-1</v>
      </c>
      <c r="B17" s="9" t="s">
        <v>71</v>
      </c>
      <c r="C17" s="12">
        <v>7448243.4494492188</v>
      </c>
      <c r="D17" s="12">
        <v>3631807.6</v>
      </c>
      <c r="E17" s="12">
        <f t="shared" si="0"/>
        <v>7075831.2769767577</v>
      </c>
      <c r="F17" s="12">
        <f t="shared" si="1"/>
        <v>3450217.2199999997</v>
      </c>
      <c r="H17" s="23" t="s">
        <v>71</v>
      </c>
      <c r="I17" s="24">
        <v>0.9984391254479944</v>
      </c>
      <c r="J17" s="24">
        <v>0.99571083885154332</v>
      </c>
      <c r="K17" s="24">
        <v>0.98852613031254266</v>
      </c>
      <c r="L17" s="24">
        <v>0.97582728070921387</v>
      </c>
      <c r="M17" s="24">
        <v>0.96926986503921464</v>
      </c>
      <c r="N17" s="24">
        <v>0.96969373869751607</v>
      </c>
      <c r="O17" s="24">
        <v>0.97167703179302101</v>
      </c>
      <c r="P17" s="24">
        <v>0.97330232228075164</v>
      </c>
      <c r="Q17" s="24">
        <v>0.97464821372371913</v>
      </c>
    </row>
    <row r="18" spans="1:17" x14ac:dyDescent="0.25">
      <c r="A18" s="9">
        <f t="shared" si="2"/>
        <v>0</v>
      </c>
      <c r="B18" s="9" t="s">
        <v>72</v>
      </c>
      <c r="C18" s="12">
        <v>8915955.3337932099</v>
      </c>
      <c r="D18" s="12">
        <v>6188755.7403909471</v>
      </c>
      <c r="E18" s="12">
        <f t="shared" si="0"/>
        <v>8915955.3337932099</v>
      </c>
      <c r="F18" s="12">
        <f t="shared" si="1"/>
        <v>6188755.7403909471</v>
      </c>
      <c r="H18" s="23" t="s">
        <v>72</v>
      </c>
      <c r="I18" s="24">
        <v>0.99816948165588781</v>
      </c>
      <c r="J18" s="24">
        <v>0.99571083885154332</v>
      </c>
      <c r="K18" s="24">
        <v>0.99102859699513013</v>
      </c>
      <c r="L18" s="24">
        <v>0.98534819824812914</v>
      </c>
      <c r="M18" s="24">
        <v>0.98397408824592603</v>
      </c>
      <c r="N18" s="24">
        <v>0.98551363460400276</v>
      </c>
      <c r="O18" s="24">
        <v>0.98752316717669453</v>
      </c>
      <c r="P18" s="24">
        <v>0.9893082707163936</v>
      </c>
      <c r="Q18" s="24">
        <v>0.99085192460765015</v>
      </c>
    </row>
    <row r="19" spans="1:17" x14ac:dyDescent="0.25">
      <c r="A19" s="9">
        <f t="shared" si="2"/>
        <v>1</v>
      </c>
      <c r="B19" s="9" t="s">
        <v>73</v>
      </c>
      <c r="C19" s="12">
        <v>10017461.84195617</v>
      </c>
      <c r="D19" s="12">
        <v>7066670.2263727253</v>
      </c>
      <c r="E19" s="12">
        <f t="shared" si="0"/>
        <v>9540439.8494820669</v>
      </c>
      <c r="F19" s="12">
        <f t="shared" si="1"/>
        <v>6730162.1203549765</v>
      </c>
      <c r="H19" s="23" t="s">
        <v>73</v>
      </c>
      <c r="I19" s="24">
        <v>0.99783738699687696</v>
      </c>
      <c r="J19" s="24">
        <v>0.99571083885154332</v>
      </c>
      <c r="K19" s="24">
        <v>0.99283964239477973</v>
      </c>
      <c r="L19" s="24">
        <v>0.99065328142406839</v>
      </c>
      <c r="M19" s="24">
        <v>0.99137749769116112</v>
      </c>
      <c r="N19" s="24">
        <v>0.99321533771633952</v>
      </c>
      <c r="O19" s="24">
        <v>0.9950161353317174</v>
      </c>
      <c r="P19" s="24">
        <v>0.99650785328208114</v>
      </c>
      <c r="Q19" s="24">
        <v>0.99757331195434884</v>
      </c>
    </row>
    <row r="20" spans="1:17" x14ac:dyDescent="0.25">
      <c r="A20" s="9">
        <f t="shared" si="2"/>
        <v>2</v>
      </c>
      <c r="B20" s="9" t="s">
        <v>74</v>
      </c>
      <c r="C20" s="12">
        <v>9925208.0999999996</v>
      </c>
      <c r="D20" s="12">
        <v>7517411.2509606024</v>
      </c>
      <c r="E20" s="12">
        <f t="shared" si="0"/>
        <v>9002456.3265306111</v>
      </c>
      <c r="F20" s="12">
        <f t="shared" si="1"/>
        <v>6818513.6063134708</v>
      </c>
      <c r="H20" s="23" t="s">
        <v>74</v>
      </c>
      <c r="I20" s="24">
        <v>0.99742789300646639</v>
      </c>
      <c r="J20" s="24">
        <v>0.99571083885154332</v>
      </c>
      <c r="K20" s="24">
        <v>0.99415171426084625</v>
      </c>
      <c r="L20" s="24">
        <v>0.99367384143150372</v>
      </c>
      <c r="M20" s="24">
        <v>0.99492966442069175</v>
      </c>
      <c r="N20" s="24">
        <v>0.99637179273426324</v>
      </c>
      <c r="O20" s="24">
        <v>0.99747815000582074</v>
      </c>
      <c r="P20" s="24">
        <v>0.99816942210567738</v>
      </c>
      <c r="Q20" s="24">
        <v>0.9984074525558001</v>
      </c>
    </row>
    <row r="21" spans="1:17" x14ac:dyDescent="0.25">
      <c r="A21" s="9">
        <f t="shared" si="2"/>
        <v>3</v>
      </c>
      <c r="B21" s="9" t="s">
        <v>75</v>
      </c>
      <c r="C21" s="12">
        <v>10706582.1</v>
      </c>
      <c r="D21" s="12">
        <v>7806214.914021723</v>
      </c>
      <c r="E21" s="12">
        <f t="shared" si="0"/>
        <v>9248748.1697440874</v>
      </c>
      <c r="F21" s="12">
        <f t="shared" si="1"/>
        <v>6743301.9449491175</v>
      </c>
      <c r="H21" s="23" t="s">
        <v>75</v>
      </c>
      <c r="I21" s="24">
        <v>0.99688571698893125</v>
      </c>
      <c r="J21" s="24">
        <v>0.99571083885154332</v>
      </c>
      <c r="K21" s="24">
        <v>0.99521397161326586</v>
      </c>
      <c r="L21" s="24">
        <v>0.99571689920231898</v>
      </c>
      <c r="M21" s="24">
        <v>0.99697312122484982</v>
      </c>
      <c r="N21" s="24">
        <v>0.99783517569196001</v>
      </c>
      <c r="O21" s="24">
        <v>0.99818093528721141</v>
      </c>
      <c r="P21" s="24">
        <v>0.99829487202442702</v>
      </c>
      <c r="Q21" s="24">
        <v>0.99843805852911094</v>
      </c>
    </row>
    <row r="22" spans="1:17" x14ac:dyDescent="0.25">
      <c r="A22" s="9">
        <f t="shared" si="2"/>
        <v>4</v>
      </c>
      <c r="B22" s="9" t="s">
        <v>76</v>
      </c>
      <c r="C22" s="12">
        <v>11852881.700000001</v>
      </c>
      <c r="D22" s="12">
        <v>8342022.5787704289</v>
      </c>
      <c r="E22" s="12">
        <f t="shared" si="0"/>
        <v>9751395.1080054101</v>
      </c>
      <c r="F22" s="12">
        <f t="shared" si="1"/>
        <v>6863002.6203241888</v>
      </c>
      <c r="H22" s="23" t="s">
        <v>76</v>
      </c>
      <c r="I22" s="24">
        <v>0.99621427167724252</v>
      </c>
      <c r="J22" s="24">
        <v>0.99571083885154332</v>
      </c>
      <c r="K22" s="24">
        <v>0.99606448368102463</v>
      </c>
      <c r="L22" s="24">
        <v>0.99712465512618265</v>
      </c>
      <c r="M22" s="24">
        <v>0.9981801826484088</v>
      </c>
      <c r="N22" s="24">
        <v>0.99856516769106551</v>
      </c>
      <c r="O22" s="24">
        <v>0.99865389041060182</v>
      </c>
      <c r="P22" s="24">
        <v>0.99876553905806809</v>
      </c>
      <c r="Q22" s="24">
        <v>0.99889922727227265</v>
      </c>
    </row>
    <row r="23" spans="1:17" x14ac:dyDescent="0.25">
      <c r="A23" s="9">
        <f t="shared" si="2"/>
        <v>5</v>
      </c>
      <c r="B23" s="9" t="s">
        <v>77</v>
      </c>
      <c r="C23" s="12">
        <v>12766002.800000001</v>
      </c>
      <c r="D23" s="12">
        <v>8435287.0999999996</v>
      </c>
      <c r="E23" s="12">
        <f t="shared" si="0"/>
        <v>10002497.235009614</v>
      </c>
      <c r="F23" s="12">
        <f t="shared" si="1"/>
        <v>6609268.1645238446</v>
      </c>
      <c r="H23" s="23" t="s">
        <v>77</v>
      </c>
      <c r="I23" s="24">
        <v>0.99542131184616889</v>
      </c>
      <c r="J23" s="24">
        <v>0.99571083885154332</v>
      </c>
      <c r="K23" s="24">
        <v>0.99674515182866941</v>
      </c>
      <c r="L23" s="24">
        <v>0.99808314910529672</v>
      </c>
      <c r="M23" s="24">
        <v>0.99886473750733951</v>
      </c>
      <c r="N23" s="24">
        <v>0.99903685483482274</v>
      </c>
      <c r="O23" s="24">
        <v>0.99917696648949927</v>
      </c>
      <c r="P23" s="24">
        <v>0.9993056142965846</v>
      </c>
      <c r="Q23" s="24">
        <v>0.99939322158977306</v>
      </c>
    </row>
    <row r="24" spans="1:17" x14ac:dyDescent="0.25">
      <c r="A24" s="9">
        <f t="shared" si="2"/>
        <v>6</v>
      </c>
      <c r="B24" s="9" t="s">
        <v>78</v>
      </c>
      <c r="C24" s="12">
        <v>13515794</v>
      </c>
      <c r="D24" s="12">
        <v>8889867.7000000011</v>
      </c>
      <c r="E24" s="12">
        <f t="shared" si="0"/>
        <v>10085693.580568952</v>
      </c>
      <c r="F24" s="12">
        <f t="shared" si="1"/>
        <v>6633756.1518026451</v>
      </c>
      <c r="H24" s="23" t="s">
        <v>78</v>
      </c>
      <c r="I24" s="24">
        <v>0.99449598170586162</v>
      </c>
      <c r="J24" s="24">
        <v>0.99571083885154332</v>
      </c>
      <c r="K24" s="24">
        <v>0.99734739446229259</v>
      </c>
      <c r="L24" s="24">
        <v>0.99877588915791338</v>
      </c>
      <c r="M24" s="24">
        <v>0.99926432334091742</v>
      </c>
      <c r="N24" s="24">
        <v>0.99939297764712376</v>
      </c>
      <c r="O24" s="24">
        <v>0.99947486153858001</v>
      </c>
      <c r="P24" s="24">
        <v>0.99951865183305078</v>
      </c>
      <c r="Q24" s="24">
        <v>0.99954729356840499</v>
      </c>
    </row>
    <row r="25" spans="1:17" x14ac:dyDescent="0.25">
      <c r="A25" s="9">
        <f t="shared" si="2"/>
        <v>7</v>
      </c>
      <c r="B25" s="9" t="s">
        <v>79</v>
      </c>
      <c r="C25" s="12">
        <v>13615271.9</v>
      </c>
      <c r="D25" s="12">
        <v>9438926.0500000007</v>
      </c>
      <c r="E25" s="12">
        <f t="shared" si="0"/>
        <v>9676119.5439752657</v>
      </c>
      <c r="F25" s="12">
        <f t="shared" si="1"/>
        <v>6708068.5202138536</v>
      </c>
      <c r="H25" s="23" t="s">
        <v>79</v>
      </c>
      <c r="I25" s="24">
        <v>0.99343240538655819</v>
      </c>
      <c r="J25" s="24">
        <v>0.99571083885154332</v>
      </c>
      <c r="K25" s="24">
        <v>0.99788289447205714</v>
      </c>
      <c r="L25" s="24">
        <v>0.99925751647350636</v>
      </c>
      <c r="M25" s="24">
        <v>0.99954122509096555</v>
      </c>
      <c r="N25" s="24">
        <v>0.99963418108838575</v>
      </c>
      <c r="O25" s="24">
        <v>0.99966983808978527</v>
      </c>
      <c r="P25" s="24">
        <v>0.99969066238822335</v>
      </c>
      <c r="Q25" s="24">
        <v>0.99971370353975531</v>
      </c>
    </row>
    <row r="26" spans="1:17" x14ac:dyDescent="0.25">
      <c r="A26" s="9">
        <f t="shared" si="2"/>
        <v>8</v>
      </c>
      <c r="B26" s="9" t="s">
        <v>80</v>
      </c>
      <c r="C26" s="12">
        <v>14544325.699999999</v>
      </c>
      <c r="D26" s="12">
        <v>9987984.4000000004</v>
      </c>
      <c r="E26" s="12">
        <f t="shared" si="0"/>
        <v>9844172.1279254388</v>
      </c>
      <c r="F26" s="12">
        <f t="shared" si="1"/>
        <v>6760260.9892484806</v>
      </c>
      <c r="H26" s="23" t="s">
        <v>80</v>
      </c>
      <c r="I26" s="24">
        <v>0.99228822588729948</v>
      </c>
      <c r="J26" s="24">
        <v>0.99571083885154332</v>
      </c>
      <c r="K26" s="24">
        <v>0.99830814943637702</v>
      </c>
      <c r="L26" s="24">
        <v>0.99952925427127737</v>
      </c>
      <c r="M26" s="24">
        <v>0.99970163741834372</v>
      </c>
      <c r="N26" s="24">
        <v>0.99975712171774844</v>
      </c>
      <c r="O26" s="24">
        <v>0.99978568675449975</v>
      </c>
      <c r="P26" s="24">
        <v>0.99980769087141064</v>
      </c>
      <c r="Q26" s="24">
        <v>0.99982572282863214</v>
      </c>
    </row>
    <row r="27" spans="1:17" x14ac:dyDescent="0.25">
      <c r="A27" s="9">
        <f t="shared" si="2"/>
        <v>9</v>
      </c>
      <c r="B27" s="9" t="s">
        <v>81</v>
      </c>
      <c r="C27" s="12">
        <v>16406490.399999999</v>
      </c>
      <c r="D27" s="12">
        <v>10979479.5</v>
      </c>
      <c r="E27" s="12">
        <f t="shared" si="0"/>
        <v>10575769.995681694</v>
      </c>
      <c r="F27" s="12">
        <f t="shared" si="1"/>
        <v>7077470.3811305221</v>
      </c>
      <c r="H27" s="23" t="s">
        <v>81</v>
      </c>
      <c r="I27" s="24">
        <v>0.99112964204156395</v>
      </c>
      <c r="J27" s="24">
        <v>0.99571083885154332</v>
      </c>
      <c r="K27" s="24">
        <v>0.99864736591120662</v>
      </c>
      <c r="L27" s="24">
        <v>0.99966663665273625</v>
      </c>
      <c r="M27" s="24">
        <v>0.99977351293994798</v>
      </c>
      <c r="N27" s="24">
        <v>0.99980042920412837</v>
      </c>
      <c r="O27" s="24">
        <v>0.99980908209659458</v>
      </c>
      <c r="P27" s="24">
        <v>0.99980778955000582</v>
      </c>
      <c r="Q27" s="24">
        <v>0.99980131716777842</v>
      </c>
    </row>
    <row r="28" spans="1:17" x14ac:dyDescent="0.25">
      <c r="A28" s="9">
        <f t="shared" si="2"/>
        <v>10</v>
      </c>
      <c r="B28" s="9" t="s">
        <v>82</v>
      </c>
      <c r="C28" s="12">
        <v>19738622.600000001</v>
      </c>
      <c r="D28" s="12">
        <v>13819986.5</v>
      </c>
      <c r="E28" s="12">
        <f t="shared" si="0"/>
        <v>12117802.020779163</v>
      </c>
      <c r="F28" s="12">
        <f t="shared" si="1"/>
        <v>8484272.8761043716</v>
      </c>
      <c r="H28" s="23" t="s">
        <v>82</v>
      </c>
      <c r="I28" s="24">
        <v>0.99000878969874084</v>
      </c>
      <c r="J28" s="24">
        <v>0.99571083885154332</v>
      </c>
      <c r="K28" s="24">
        <v>0.99893630622027041</v>
      </c>
      <c r="L28" s="24">
        <v>0.99976403056706586</v>
      </c>
      <c r="M28" s="24">
        <v>0.9998452589327913</v>
      </c>
      <c r="N28" s="24">
        <v>0.99986870670411165</v>
      </c>
      <c r="O28" s="24">
        <v>0.99987536697497259</v>
      </c>
      <c r="P28" s="24">
        <v>0.99987664419129263</v>
      </c>
      <c r="Q28" s="24">
        <v>0.99987955335605749</v>
      </c>
    </row>
    <row r="29" spans="1:17" x14ac:dyDescent="0.25">
      <c r="A29" s="9">
        <f t="shared" si="2"/>
        <v>11</v>
      </c>
      <c r="B29" s="9" t="s">
        <v>83</v>
      </c>
      <c r="C29" s="12">
        <v>24340433.200000003</v>
      </c>
      <c r="D29" s="12">
        <v>16660493.5</v>
      </c>
      <c r="E29" s="12">
        <f t="shared" si="0"/>
        <v>14231347.179431921</v>
      </c>
      <c r="F29" s="12">
        <f t="shared" si="1"/>
        <v>9741045.4954092111</v>
      </c>
      <c r="H29" s="23" t="s">
        <v>83</v>
      </c>
      <c r="I29" s="24">
        <v>0.98922228057328832</v>
      </c>
      <c r="J29" s="24">
        <v>0.99571083885154332</v>
      </c>
      <c r="K29" s="24">
        <v>0.9991561683923279</v>
      </c>
      <c r="L29" s="24">
        <v>0.99983714249957478</v>
      </c>
      <c r="M29" s="24">
        <v>0.9998996465331923</v>
      </c>
      <c r="N29" s="24">
        <v>0.99991878956205804</v>
      </c>
      <c r="O29" s="24">
        <v>0.99992864423650663</v>
      </c>
      <c r="P29" s="24">
        <v>0.99993753509985073</v>
      </c>
      <c r="Q29" s="24">
        <v>0.99994562683749166</v>
      </c>
    </row>
    <row r="30" spans="1:17" x14ac:dyDescent="0.25">
      <c r="A30" s="9">
        <f t="shared" si="2"/>
        <v>12</v>
      </c>
      <c r="B30" s="9" t="s">
        <v>84</v>
      </c>
      <c r="C30" s="12">
        <v>29177253.5</v>
      </c>
      <c r="D30" s="12">
        <v>20267549.700000003</v>
      </c>
      <c r="E30" s="12">
        <f t="shared" si="0"/>
        <v>16246986.508452162</v>
      </c>
      <c r="F30" s="12">
        <f t="shared" si="1"/>
        <v>11285730.047733372</v>
      </c>
      <c r="H30" s="23" t="s">
        <v>84</v>
      </c>
      <c r="I30" s="24">
        <v>0.98888773454255396</v>
      </c>
      <c r="J30" s="24">
        <v>0.99571083885154332</v>
      </c>
      <c r="K30" s="24">
        <v>0.9993170640772876</v>
      </c>
      <c r="L30" s="24">
        <v>0.99988074142787209</v>
      </c>
      <c r="M30" s="24">
        <v>0.99993127026250195</v>
      </c>
      <c r="N30" s="24">
        <v>0.9999495410705298</v>
      </c>
      <c r="O30" s="24">
        <v>0.9999635707467921</v>
      </c>
      <c r="P30" s="24">
        <v>0.99997319500782389</v>
      </c>
      <c r="Q30" s="24">
        <v>0.9999775962924855</v>
      </c>
    </row>
    <row r="31" spans="1:17" x14ac:dyDescent="0.25">
      <c r="A31" s="9">
        <f t="shared" si="2"/>
        <v>13</v>
      </c>
      <c r="B31" s="9" t="s">
        <v>85</v>
      </c>
      <c r="C31" s="12">
        <v>32463740.899999999</v>
      </c>
      <c r="E31" s="12">
        <f t="shared" si="0"/>
        <v>17216214.921086892</v>
      </c>
      <c r="F31" s="12">
        <f t="shared" si="1"/>
        <v>0</v>
      </c>
      <c r="H31" s="23" t="s">
        <v>85</v>
      </c>
      <c r="I31" s="24">
        <v>0.98926598103575003</v>
      </c>
      <c r="J31" s="24">
        <v>0.99571083885154332</v>
      </c>
      <c r="K31" s="24">
        <v>0.99940756926912167</v>
      </c>
      <c r="L31" s="24">
        <v>0.99989851924201112</v>
      </c>
      <c r="M31" s="24">
        <v>0.99994170929232595</v>
      </c>
      <c r="N31" s="24">
        <v>0.99996357074679221</v>
      </c>
      <c r="O31" s="24">
        <v>0.99997661615829558</v>
      </c>
      <c r="P31" s="24">
        <v>0.99998200142496296</v>
      </c>
      <c r="Q31" s="24">
        <v>0.99998719463095576</v>
      </c>
    </row>
    <row r="32" spans="1:17" x14ac:dyDescent="0.25">
      <c r="A32" s="9">
        <f t="shared" si="2"/>
        <v>14</v>
      </c>
      <c r="B32" s="9" t="s">
        <v>88</v>
      </c>
      <c r="E32" s="12">
        <f t="shared" si="0"/>
        <v>0</v>
      </c>
      <c r="F32" s="12">
        <f t="shared" si="1"/>
        <v>0</v>
      </c>
      <c r="H32" s="23" t="s">
        <v>88</v>
      </c>
      <c r="I32" s="24">
        <v>0.98960603718658624</v>
      </c>
      <c r="J32" s="24">
        <v>0.99571083885154332</v>
      </c>
      <c r="K32" s="24">
        <v>0.99949624198660758</v>
      </c>
      <c r="L32" s="24">
        <v>0.99991398595320091</v>
      </c>
      <c r="M32" s="24">
        <v>0.99995385374648194</v>
      </c>
      <c r="N32" s="24">
        <v>0.99997661615829592</v>
      </c>
      <c r="O32" s="24">
        <v>0.99998556116852266</v>
      </c>
      <c r="P32" s="24">
        <v>0.99999557496661895</v>
      </c>
      <c r="Q32" s="24">
        <v>1</v>
      </c>
    </row>
  </sheetData>
  <mergeCells count="4">
    <mergeCell ref="C5:D5"/>
    <mergeCell ref="E5:F5"/>
    <mergeCell ref="H4:H5"/>
    <mergeCell ref="I5:Q5"/>
  </mergeCells>
  <conditionalFormatting sqref="I8:Q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Spinner 1">
              <controlPr defaultSize="0" autoPict="0">
                <anchor moveWithCells="1" sizeWithCells="1">
                  <from>
                    <xdr:col>6</xdr:col>
                    <xdr:colOff>76200</xdr:colOff>
                    <xdr:row>0</xdr:row>
                    <xdr:rowOff>28575</xdr:rowOff>
                  </from>
                  <to>
                    <xdr:col>6</xdr:col>
                    <xdr:colOff>219075</xdr:colOff>
                    <xdr:row>2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1"/>
  <sheetViews>
    <sheetView zoomScale="85" zoomScaleNormal="85" workbookViewId="0">
      <selection activeCell="H41" sqref="H41"/>
    </sheetView>
  </sheetViews>
  <sheetFormatPr defaultRowHeight="15" x14ac:dyDescent="0.25"/>
  <cols>
    <col min="4" max="4" width="10.28515625" bestFit="1" customWidth="1"/>
    <col min="6" max="7" width="10.28515625" bestFit="1" customWidth="1"/>
    <col min="12" max="12" width="12.5703125" customWidth="1"/>
  </cols>
  <sheetData>
    <row r="1" spans="1:13" x14ac:dyDescent="0.25">
      <c r="C1" t="s">
        <v>144</v>
      </c>
      <c r="E1" s="10">
        <v>2</v>
      </c>
      <c r="K1" s="13" t="s">
        <v>145</v>
      </c>
      <c r="L1" s="10">
        <v>3</v>
      </c>
    </row>
    <row r="3" spans="1:13" x14ac:dyDescent="0.25">
      <c r="D3" s="51">
        <f ca="1">D35</f>
        <v>25282662.075571038</v>
      </c>
      <c r="E3" t="s">
        <v>146</v>
      </c>
      <c r="K3" s="52">
        <v>5.0000000000000001E-3</v>
      </c>
      <c r="L3" t="s">
        <v>147</v>
      </c>
    </row>
    <row r="4" spans="1:13" x14ac:dyDescent="0.25">
      <c r="D4" s="51">
        <f ca="1">SUM(D32:D35)</f>
        <v>88471130.738775849</v>
      </c>
      <c r="E4" t="s">
        <v>148</v>
      </c>
      <c r="K4" s="52">
        <v>1E-3</v>
      </c>
      <c r="L4" t="s">
        <v>149</v>
      </c>
    </row>
    <row r="5" spans="1:13" x14ac:dyDescent="0.25">
      <c r="D5" s="51">
        <f ca="1">NPV(F6,D32,D33,D34,D35)</f>
        <v>74210896.693587899</v>
      </c>
      <c r="E5" t="s">
        <v>150</v>
      </c>
    </row>
    <row r="6" spans="1:13" x14ac:dyDescent="0.25">
      <c r="E6" t="s">
        <v>151</v>
      </c>
      <c r="F6" s="53">
        <v>7.0000000000000007E-2</v>
      </c>
    </row>
    <row r="8" spans="1:13" x14ac:dyDescent="0.25">
      <c r="D8" s="54" t="s">
        <v>152</v>
      </c>
      <c r="E8" s="54" t="s">
        <v>153</v>
      </c>
      <c r="G8" s="54" t="s">
        <v>154</v>
      </c>
      <c r="H8" s="54" t="s">
        <v>155</v>
      </c>
      <c r="J8" s="54" t="s">
        <v>153</v>
      </c>
      <c r="K8" s="55" t="s">
        <v>156</v>
      </c>
    </row>
    <row r="9" spans="1:13" x14ac:dyDescent="0.25">
      <c r="D9" s="56" t="s">
        <v>157</v>
      </c>
      <c r="E9" s="56" t="s">
        <v>57</v>
      </c>
      <c r="F9" s="56" t="s">
        <v>158</v>
      </c>
      <c r="J9" s="56" t="s">
        <v>57</v>
      </c>
      <c r="K9" s="56"/>
      <c r="L9" s="57" t="s">
        <v>58</v>
      </c>
      <c r="M9" s="57" t="s">
        <v>159</v>
      </c>
    </row>
    <row r="10" spans="1:13" x14ac:dyDescent="0.25">
      <c r="D10" s="56" t="s">
        <v>160</v>
      </c>
      <c r="E10" s="56" t="s">
        <v>161</v>
      </c>
      <c r="F10" s="56" t="s">
        <v>162</v>
      </c>
      <c r="J10" s="56" t="s">
        <v>161</v>
      </c>
      <c r="K10" s="58"/>
      <c r="L10" s="57" t="s">
        <v>163</v>
      </c>
      <c r="M10" s="57" t="s">
        <v>164</v>
      </c>
    </row>
    <row r="11" spans="1:13" ht="45" x14ac:dyDescent="0.25">
      <c r="B11" s="59" t="s">
        <v>59</v>
      </c>
      <c r="C11" s="60" t="s">
        <v>165</v>
      </c>
      <c r="D11" s="60" t="s">
        <v>61</v>
      </c>
      <c r="E11" s="60" t="s">
        <v>166</v>
      </c>
      <c r="F11" s="61" t="s">
        <v>167</v>
      </c>
      <c r="G11" s="62" t="s">
        <v>168</v>
      </c>
      <c r="H11" s="62" t="s">
        <v>169</v>
      </c>
      <c r="J11" s="63" t="s">
        <v>166</v>
      </c>
      <c r="K11" s="62" t="s">
        <v>170</v>
      </c>
      <c r="L11" s="64" t="s">
        <v>171</v>
      </c>
      <c r="M11" s="64" t="s">
        <v>172</v>
      </c>
    </row>
    <row r="12" spans="1:13" x14ac:dyDescent="0.25">
      <c r="A12" s="65" t="s">
        <v>103</v>
      </c>
      <c r="B12" s="66">
        <v>1</v>
      </c>
      <c r="C12" s="67">
        <v>2002</v>
      </c>
      <c r="D12" s="68">
        <v>1523670.1312683504</v>
      </c>
      <c r="E12" s="68">
        <v>7124.9668564346994</v>
      </c>
      <c r="F12" s="69" t="str">
        <f ca="1">IF($B12&gt;E$1,TREND(OFFSET($D$11,E$1+1,0):D$31,OFFSET($E$11,E$1+1,0):E$31,E12),"")</f>
        <v/>
      </c>
      <c r="G12" s="9"/>
      <c r="H12" s="9"/>
      <c r="J12" s="68">
        <v>7124.9668564346994</v>
      </c>
      <c r="K12" s="70"/>
      <c r="L12" s="68" t="str">
        <f ca="1">IF($B12&gt;L$1,OFFSET($D$11,$B12-L$1,0),"")</f>
        <v/>
      </c>
      <c r="M12" s="68" t="str">
        <f ca="1">IF($B12&gt;L$1,TREND(OFFSET($J$11,L$1+1,0):J$31,OFFSET($L$11,L$1+1,0):L$31,L12),"")</f>
        <v/>
      </c>
    </row>
    <row r="13" spans="1:13" x14ac:dyDescent="0.25">
      <c r="A13" s="65"/>
      <c r="B13" s="66">
        <v>2</v>
      </c>
      <c r="C13" s="67">
        <v>2003</v>
      </c>
      <c r="D13" s="68">
        <v>1899714.2822209885</v>
      </c>
      <c r="E13" s="68">
        <v>9472.4628590143511</v>
      </c>
      <c r="F13" s="69" t="str">
        <f ca="1">IF($B13&gt;E$1,TREND(OFFSET($D$11,E$1+1,0):D$31,OFFSET($E$11,E$1+1,0):E$31,E13),"")</f>
        <v/>
      </c>
      <c r="G13" s="9"/>
      <c r="H13" s="9"/>
      <c r="J13" s="68">
        <v>9472.4628590143511</v>
      </c>
      <c r="K13" s="70"/>
      <c r="L13" s="68" t="str">
        <f t="shared" ref="L13:L35" ca="1" si="0">IF($B13&gt;L$1,OFFSET($D$11,$B13-L$1,0),"")</f>
        <v/>
      </c>
      <c r="M13" s="68" t="str">
        <f ca="1">IF($B13&gt;L$1,TREND(OFFSET($J$11,L$1+1,0):J$31,OFFSET($L$11,L$1+1,0):L$31,L13),"")</f>
        <v/>
      </c>
    </row>
    <row r="14" spans="1:13" x14ac:dyDescent="0.25">
      <c r="A14" s="65"/>
      <c r="B14" s="66">
        <v>3</v>
      </c>
      <c r="C14" s="67">
        <v>2004</v>
      </c>
      <c r="D14" s="68">
        <v>2271976.8034374709</v>
      </c>
      <c r="E14" s="68">
        <v>10821.718177877687</v>
      </c>
      <c r="F14" s="69">
        <f ca="1">IF($B14&gt;E$1,TREND(OFFSET($D$11,E$1+1,0):D$31,OFFSET($E$11,E$1+1,0):E$31,E14),"")</f>
        <v>2556692.8835361321</v>
      </c>
      <c r="G14" s="9"/>
      <c r="H14" s="9"/>
      <c r="J14" s="68">
        <v>10821.718177877687</v>
      </c>
      <c r="K14" s="70"/>
      <c r="L14" s="68" t="str">
        <f t="shared" ca="1" si="0"/>
        <v/>
      </c>
      <c r="M14" s="68" t="str">
        <f ca="1">IF($B14&gt;L$1,TREND(OFFSET($J$11,L$1+1,0):J$31,OFFSET($L$11,L$1+1,0):L$31,L14),"")</f>
        <v/>
      </c>
    </row>
    <row r="15" spans="1:13" x14ac:dyDescent="0.25">
      <c r="A15" s="65"/>
      <c r="B15" s="66">
        <v>4</v>
      </c>
      <c r="C15" s="67">
        <v>2005</v>
      </c>
      <c r="D15" s="68">
        <v>2745199.6299384595</v>
      </c>
      <c r="E15" s="68">
        <v>15014.027631766721</v>
      </c>
      <c r="F15" s="69">
        <f ca="1">IF($B15&gt;E$1,TREND(OFFSET($D$11,E$1+1,0):D$31,OFFSET($E$11,E$1+1,0):E$31,E15),"")</f>
        <v>3228463.0958515378</v>
      </c>
      <c r="G15" s="9"/>
      <c r="H15" s="9"/>
      <c r="J15" s="68">
        <v>15014.027631766721</v>
      </c>
      <c r="K15" s="70"/>
      <c r="L15" s="68">
        <f t="shared" ca="1" si="0"/>
        <v>1523670.1312683504</v>
      </c>
      <c r="M15" s="68">
        <f ca="1">IF($B15&gt;L$1,TREND(OFFSET($J$11,L$1+1,0):J$31,OFFSET($L$11,L$1+1,0):L$31,L15),"")</f>
        <v>17778.363243696265</v>
      </c>
    </row>
    <row r="16" spans="1:13" x14ac:dyDescent="0.25">
      <c r="A16" s="65"/>
      <c r="B16" s="66">
        <v>5</v>
      </c>
      <c r="C16" s="67">
        <v>2006</v>
      </c>
      <c r="D16" s="68">
        <v>3476075.5445336094</v>
      </c>
      <c r="E16" s="68">
        <v>18464.986503774206</v>
      </c>
      <c r="F16" s="69">
        <f ca="1">IF($B16&gt;E$1,TREND(OFFSET($D$11,E$1+1,0):D$31,OFFSET($E$11,E$1+1,0):E$31,E16),"")</f>
        <v>3781440.2554907561</v>
      </c>
      <c r="G16" s="9"/>
      <c r="H16" s="9"/>
      <c r="J16" s="68">
        <v>18464.986503774206</v>
      </c>
      <c r="K16" s="70"/>
      <c r="L16" s="68">
        <f ca="1">IF($B16&gt;L$1,OFFSET($D$11,$B16-L$1,0),"")</f>
        <v>1899714.2822209885</v>
      </c>
      <c r="M16" s="68">
        <f ca="1">IF($B16&gt;L$1,TREND(OFFSET($J$11,L$1+1,0):J$31,OFFSET($L$11,L$1+1,0):L$31,L16),"")</f>
        <v>20177.428325074809</v>
      </c>
    </row>
    <row r="17" spans="1:13" x14ac:dyDescent="0.25">
      <c r="A17" s="65"/>
      <c r="B17" s="66">
        <v>6</v>
      </c>
      <c r="C17" s="67">
        <v>2007</v>
      </c>
      <c r="D17" s="68">
        <v>4183589.0473623835</v>
      </c>
      <c r="E17" s="68">
        <v>23149.291880697179</v>
      </c>
      <c r="F17" s="69">
        <f ca="1">IF($B17&gt;E$1,TREND(OFFSET($D$11,E$1+1,0):D$31,OFFSET($E$11,E$1+1,0):E$31,E17),"")</f>
        <v>4532047.2543816911</v>
      </c>
      <c r="G17" s="9"/>
      <c r="H17" s="9"/>
      <c r="J17" s="68">
        <v>23149.291880697179</v>
      </c>
      <c r="K17" s="70"/>
      <c r="L17" s="68">
        <f t="shared" ca="1" si="0"/>
        <v>2271976.8034374709</v>
      </c>
      <c r="M17" s="68">
        <f ca="1">IF($B17&gt;L$1,TREND(OFFSET($J$11,L$1+1,0):J$31,OFFSET($L$11,L$1+1,0):L$31,L17),"")</f>
        <v>22552.367580196697</v>
      </c>
    </row>
    <row r="18" spans="1:13" x14ac:dyDescent="0.25">
      <c r="A18" s="65"/>
      <c r="B18" s="66">
        <v>7</v>
      </c>
      <c r="C18" s="67">
        <v>2008</v>
      </c>
      <c r="D18" s="68">
        <v>5380452.4239379605</v>
      </c>
      <c r="E18" s="68">
        <v>29243.136120380714</v>
      </c>
      <c r="F18" s="69">
        <f ca="1">IF($B18&gt;E$1,TREND(OFFSET($D$11,E$1+1,0):D$31,OFFSET($E$11,E$1+1,0):E$31,E18),"")</f>
        <v>5508516.9267031597</v>
      </c>
      <c r="G18" s="9"/>
      <c r="H18" s="9"/>
      <c r="J18" s="68">
        <v>29243.136120380714</v>
      </c>
      <c r="K18" s="70"/>
      <c r="L18" s="68">
        <f t="shared" ca="1" si="0"/>
        <v>2745199.6299384595</v>
      </c>
      <c r="M18" s="68">
        <f ca="1">IF($B18&gt;L$1,TREND(OFFSET($J$11,L$1+1,0):J$31,OFFSET($L$11,L$1+1,0):L$31,L18),"")</f>
        <v>25571.4076474168</v>
      </c>
    </row>
    <row r="19" spans="1:13" x14ac:dyDescent="0.25">
      <c r="A19" s="65"/>
      <c r="B19" s="66">
        <v>8</v>
      </c>
      <c r="C19" s="67">
        <v>2009</v>
      </c>
      <c r="D19" s="68">
        <v>5857652.2365358304</v>
      </c>
      <c r="E19" s="68">
        <v>32827.12981312503</v>
      </c>
      <c r="F19" s="69">
        <f ca="1">IF($B19&gt;E$1,TREND(OFFSET($D$11,E$1+1,0):D$31,OFFSET($E$11,E$1+1,0):E$31,E19),"")</f>
        <v>6082811.4129268499</v>
      </c>
      <c r="G19" s="9"/>
      <c r="H19" s="9"/>
      <c r="J19" s="68">
        <v>32827.12981312503</v>
      </c>
      <c r="K19" s="70"/>
      <c r="L19" s="68">
        <f t="shared" ca="1" si="0"/>
        <v>3476075.5445336094</v>
      </c>
      <c r="M19" s="68">
        <f ca="1">IF($B19&gt;L$1,TREND(OFFSET($J$11,L$1+1,0):J$31,OFFSET($L$11,L$1+1,0):L$31,L19),"")</f>
        <v>30234.208228369513</v>
      </c>
    </row>
    <row r="20" spans="1:13" x14ac:dyDescent="0.25">
      <c r="A20" s="65"/>
      <c r="B20" s="66">
        <v>9</v>
      </c>
      <c r="C20" s="67">
        <v>2010</v>
      </c>
      <c r="D20" s="68">
        <v>6511019.5831007604</v>
      </c>
      <c r="E20" s="68">
        <v>34417.519307577262</v>
      </c>
      <c r="F20" s="69">
        <f ca="1">IF($B20&gt;E$1,TREND(OFFSET($D$11,E$1+1,0):D$31,OFFSET($E$11,E$1+1,0):E$31,E20),"")</f>
        <v>6337653.3562765419</v>
      </c>
      <c r="G20" s="9"/>
      <c r="H20" s="9"/>
      <c r="J20" s="68">
        <v>34417.519307577262</v>
      </c>
      <c r="K20" s="70"/>
      <c r="L20" s="68">
        <f t="shared" ca="1" si="0"/>
        <v>4183589.0473623835</v>
      </c>
      <c r="M20" s="68">
        <f ca="1">IF($B20&gt;L$1,TREND(OFFSET($J$11,L$1+1,0):J$31,OFFSET($L$11,L$1+1,0):L$31,L20),"")</f>
        <v>34747.962623805142</v>
      </c>
    </row>
    <row r="21" spans="1:13" x14ac:dyDescent="0.25">
      <c r="A21" s="65"/>
      <c r="B21" s="66">
        <v>10</v>
      </c>
      <c r="C21" s="67">
        <v>2011</v>
      </c>
      <c r="D21" s="68">
        <v>7448243.4494492188</v>
      </c>
      <c r="E21" s="68">
        <v>38027.270514532211</v>
      </c>
      <c r="F21" s="69">
        <f ca="1">IF($B21&gt;E$1,TREND(OFFSET($D$11,E$1+1,0):D$31,OFFSET($E$11,E$1+1,0):E$31,E21),"")</f>
        <v>6916075.1930644764</v>
      </c>
      <c r="G21" s="9"/>
      <c r="H21" s="9"/>
      <c r="J21" s="68">
        <v>38027.270514532211</v>
      </c>
      <c r="K21" s="70"/>
      <c r="L21" s="68">
        <f t="shared" ca="1" si="0"/>
        <v>5380452.4239379605</v>
      </c>
      <c r="M21" s="68">
        <f ca="1">IF($B21&gt;L$1,TREND(OFFSET($J$11,L$1+1,0):J$31,OFFSET($L$11,L$1+1,0):L$31,L21),"")</f>
        <v>42383.643505024127</v>
      </c>
    </row>
    <row r="22" spans="1:13" x14ac:dyDescent="0.25">
      <c r="A22" s="65"/>
      <c r="B22" s="66">
        <v>11</v>
      </c>
      <c r="C22" s="67">
        <v>2012</v>
      </c>
      <c r="D22" s="68">
        <v>8915955.3337932099</v>
      </c>
      <c r="E22" s="68">
        <v>48913.793502099419</v>
      </c>
      <c r="F22" s="69">
        <f ca="1">IF($B22&gt;E$1,TREND(OFFSET($D$11,E$1+1,0):D$31,OFFSET($E$11,E$1+1,0):E$31,E22),"")</f>
        <v>8660517.472236013</v>
      </c>
      <c r="G22" s="9"/>
      <c r="H22" s="9"/>
      <c r="J22" s="68">
        <v>48913.793502099419</v>
      </c>
      <c r="K22" s="70"/>
      <c r="L22" s="68">
        <f t="shared" ca="1" si="0"/>
        <v>5857652.2365358304</v>
      </c>
      <c r="M22" s="68">
        <f ca="1">IF($B22&gt;L$1,TREND(OFFSET($J$11,L$1+1,0):J$31,OFFSET($L$11,L$1+1,0):L$31,L22),"")</f>
        <v>45428.055721897363</v>
      </c>
    </row>
    <row r="23" spans="1:13" x14ac:dyDescent="0.25">
      <c r="A23" s="65"/>
      <c r="B23" s="66">
        <v>12</v>
      </c>
      <c r="C23" s="67">
        <v>2013</v>
      </c>
      <c r="D23" s="68">
        <v>10017461.84195617</v>
      </c>
      <c r="E23" s="68">
        <v>55417.97686444701</v>
      </c>
      <c r="F23" s="69">
        <f ca="1">IF($B23&gt;E$1,TREND(OFFSET($D$11,E$1+1,0):D$31,OFFSET($E$11,E$1+1,0):E$31,E23),"")</f>
        <v>9702739.3516846616</v>
      </c>
      <c r="G23" s="9"/>
      <c r="H23" s="9"/>
      <c r="J23" s="68">
        <v>55417.97686444701</v>
      </c>
      <c r="K23" s="70"/>
      <c r="L23" s="68">
        <f t="shared" ca="1" si="0"/>
        <v>6511019.5831007604</v>
      </c>
      <c r="M23" s="68">
        <f ca="1">IF($B23&gt;L$1,TREND(OFFSET($J$11,L$1+1,0):J$31,OFFSET($L$11,L$1+1,0):L$31,L23),"")</f>
        <v>49596.371549935058</v>
      </c>
    </row>
    <row r="24" spans="1:13" x14ac:dyDescent="0.25">
      <c r="A24" s="65"/>
      <c r="B24" s="66">
        <v>13</v>
      </c>
      <c r="C24" s="67">
        <v>2014</v>
      </c>
      <c r="D24" s="68">
        <v>9925208.0999999996</v>
      </c>
      <c r="E24" s="68">
        <v>58446.402896956672</v>
      </c>
      <c r="F24" s="69">
        <f ca="1">IF($B24&gt;E$1,TREND(OFFSET($D$11,E$1+1,0):D$31,OFFSET($E$11,E$1+1,0):E$31,E24),"")</f>
        <v>10188010.398876391</v>
      </c>
      <c r="G24" s="9"/>
      <c r="H24" s="9"/>
      <c r="J24" s="68">
        <v>58446.402896956672</v>
      </c>
      <c r="K24" s="70"/>
      <c r="L24" s="68">
        <f t="shared" ca="1" si="0"/>
        <v>7448243.4494492188</v>
      </c>
      <c r="M24" s="68">
        <f ca="1">IF($B24&gt;L$1,TREND(OFFSET($J$11,L$1+1,0):J$31,OFFSET($L$11,L$1+1,0):L$31,L24),"")</f>
        <v>55575.619054503652</v>
      </c>
    </row>
    <row r="25" spans="1:13" x14ac:dyDescent="0.25">
      <c r="A25" s="65"/>
      <c r="B25" s="66">
        <v>14</v>
      </c>
      <c r="C25" s="67">
        <v>2015</v>
      </c>
      <c r="D25" s="68">
        <v>10706582.1</v>
      </c>
      <c r="E25" s="68">
        <v>57428.570061473758</v>
      </c>
      <c r="F25" s="69">
        <f ca="1">IF($B25&gt;E$1,TREND(OFFSET($D$11,E$1+1,0):D$31,OFFSET($E$11,E$1+1,0):E$31,E25),"")</f>
        <v>10024914.189611671</v>
      </c>
      <c r="G25" s="9"/>
      <c r="H25" s="9"/>
      <c r="J25" s="68">
        <v>57428.570061473758</v>
      </c>
      <c r="K25" s="70"/>
      <c r="L25" s="68">
        <f t="shared" ca="1" si="0"/>
        <v>8915955.3337932099</v>
      </c>
      <c r="M25" s="68">
        <f ca="1">IF($B25&gt;L$1,TREND(OFFSET($J$11,L$1+1,0):J$31,OFFSET($L$11,L$1+1,0):L$31,L25),"")</f>
        <v>64939.243837215537</v>
      </c>
    </row>
    <row r="26" spans="1:13" x14ac:dyDescent="0.25">
      <c r="A26" s="65"/>
      <c r="B26" s="66">
        <v>15</v>
      </c>
      <c r="C26" s="67">
        <v>2016</v>
      </c>
      <c r="D26" s="68">
        <v>11852881.700000001</v>
      </c>
      <c r="E26" s="68">
        <v>59750.30854984279</v>
      </c>
      <c r="F26" s="69">
        <f ca="1">IF($B26&gt;E$1,TREND(OFFSET($D$11,E$1+1,0):D$31,OFFSET($E$11,E$1+1,0):E$31,E26),"")</f>
        <v>10396946.544195054</v>
      </c>
      <c r="G26" s="9"/>
      <c r="H26" s="9"/>
      <c r="J26" s="68">
        <v>59750.30854984279</v>
      </c>
      <c r="K26" s="70"/>
      <c r="L26" s="68">
        <f t="shared" ca="1" si="0"/>
        <v>10017461.84195617</v>
      </c>
      <c r="M26" s="68">
        <f ca="1">IF($B26&gt;L$1,TREND(OFFSET($J$11,L$1+1,0):J$31,OFFSET($L$11,L$1+1,0):L$31,L26),"")</f>
        <v>71966.572394116287</v>
      </c>
    </row>
    <row r="27" spans="1:13" x14ac:dyDescent="0.25">
      <c r="A27" s="65"/>
      <c r="B27" s="66">
        <v>16</v>
      </c>
      <c r="C27" s="67">
        <v>2017</v>
      </c>
      <c r="D27" s="68">
        <v>12766002.800000001</v>
      </c>
      <c r="E27" s="68">
        <v>71121.2</v>
      </c>
      <c r="F27" s="69">
        <f ca="1">IF($B27&gt;E$1,TREND(OFFSET($D$11,E$1+1,0):D$31,OFFSET($E$11,E$1+1,0):E$31,E27),"")</f>
        <v>12219003.395604603</v>
      </c>
      <c r="G27" s="9"/>
      <c r="H27" s="9"/>
      <c r="J27" s="68">
        <v>71121.2</v>
      </c>
      <c r="K27" s="70"/>
      <c r="L27" s="68">
        <f t="shared" ca="1" si="0"/>
        <v>9925208.0999999996</v>
      </c>
      <c r="M27" s="68">
        <f ca="1">IF($B27&gt;L$1,TREND(OFFSET($J$11,L$1+1,0):J$31,OFFSET($L$11,L$1+1,0):L$31,L27),"")</f>
        <v>71378.01721943033</v>
      </c>
    </row>
    <row r="28" spans="1:13" x14ac:dyDescent="0.25">
      <c r="A28" s="65"/>
      <c r="B28" s="66">
        <v>17</v>
      </c>
      <c r="C28" s="67">
        <v>2018</v>
      </c>
      <c r="D28" s="68">
        <v>13515794</v>
      </c>
      <c r="E28" s="68">
        <v>79509</v>
      </c>
      <c r="F28" s="69">
        <f ca="1">IF($B28&gt;E$1,TREND(OFFSET($D$11,E$1+1,0):D$31,OFFSET($E$11,E$1+1,0):E$31,E28),"")</f>
        <v>13563053.554314166</v>
      </c>
      <c r="G28" s="9"/>
      <c r="H28" s="9"/>
      <c r="J28" s="68">
        <v>79509</v>
      </c>
      <c r="K28" s="70"/>
      <c r="L28" s="68">
        <f t="shared" ca="1" si="0"/>
        <v>10706582.1</v>
      </c>
      <c r="M28" s="68">
        <f ca="1">IF($B28&gt;L$1,TREND(OFFSET($J$11,L$1+1,0):J$31,OFFSET($L$11,L$1+1,0):L$31,L28),"")</f>
        <v>76362.982612850785</v>
      </c>
    </row>
    <row r="29" spans="1:13" x14ac:dyDescent="0.25">
      <c r="A29" s="65"/>
      <c r="B29" s="66">
        <v>18</v>
      </c>
      <c r="C29" s="67">
        <v>2019</v>
      </c>
      <c r="D29" s="68">
        <v>13615271.9</v>
      </c>
      <c r="E29" s="68">
        <v>84992.9</v>
      </c>
      <c r="F29" s="69">
        <f ca="1">IF($B29&gt;E$1,TREND(OFFSET($D$11,E$1+1,0):D$31,OFFSET($E$11,E$1+1,0):E$31,E29),"")</f>
        <v>14441786.555261659</v>
      </c>
      <c r="G29" s="9"/>
      <c r="H29" s="9"/>
      <c r="J29" s="68">
        <v>84992.9</v>
      </c>
      <c r="K29" s="70"/>
      <c r="L29" s="68">
        <f t="shared" ca="1" si="0"/>
        <v>11852881.700000001</v>
      </c>
      <c r="M29" s="68">
        <f ca="1">IF($B29&gt;L$1,TREND(OFFSET($J$11,L$1+1,0):J$31,OFFSET($L$11,L$1+1,0):L$31,L29),"")</f>
        <v>83676.079588808148</v>
      </c>
    </row>
    <row r="30" spans="1:13" x14ac:dyDescent="0.25">
      <c r="A30" s="65"/>
      <c r="B30" s="66">
        <v>19</v>
      </c>
      <c r="C30" s="67">
        <v>2020</v>
      </c>
      <c r="D30" s="68">
        <v>14544325.699999999</v>
      </c>
      <c r="E30" s="68">
        <v>91586</v>
      </c>
      <c r="F30" s="69">
        <f ca="1">IF($B30&gt;E$1,TREND(OFFSET($D$11,E$1+1,0):D$31,OFFSET($E$11,E$1+1,0):E$31,E30),"")</f>
        <v>15498256.321039101</v>
      </c>
      <c r="G30" s="9"/>
      <c r="H30" s="9"/>
      <c r="J30" s="68">
        <v>91586</v>
      </c>
      <c r="K30" s="70"/>
      <c r="L30" s="68">
        <f t="shared" ca="1" si="0"/>
        <v>12766002.800000001</v>
      </c>
      <c r="M30" s="68">
        <f ca="1">IF($B30&gt;L$1,TREND(OFFSET($J$11,L$1+1,0):J$31,OFFSET($L$11,L$1+1,0):L$31,L30),"")</f>
        <v>89501.557635815116</v>
      </c>
    </row>
    <row r="31" spans="1:13" x14ac:dyDescent="0.25">
      <c r="A31" s="65"/>
      <c r="B31" s="66">
        <v>20</v>
      </c>
      <c r="C31" s="67">
        <v>2021</v>
      </c>
      <c r="D31" s="68">
        <v>16406490.399999999</v>
      </c>
      <c r="E31" s="68">
        <v>97845.4</v>
      </c>
      <c r="F31" s="69">
        <f ca="1">IF($B31&gt;E$1,TREND(OFFSET($D$11,E$1+1,0):D$31,OFFSET($E$11,E$1+1,0):E$31,E31),"")</f>
        <v>16501254.432990581</v>
      </c>
      <c r="G31" s="9"/>
      <c r="H31" s="9"/>
      <c r="J31" s="68">
        <v>97845.4</v>
      </c>
      <c r="K31" s="70"/>
      <c r="L31" s="68">
        <f t="shared" ca="1" si="0"/>
        <v>13515794</v>
      </c>
      <c r="M31" s="68">
        <f ca="1">IF($B31&gt;L$1,TREND(OFFSET($J$11,L$1+1,0):J$31,OFFSET($L$11,L$1+1,0):L$31,L31),"")</f>
        <v>94285.032878517319</v>
      </c>
    </row>
    <row r="32" spans="1:13" ht="15" customHeight="1" x14ac:dyDescent="0.25">
      <c r="A32" s="65" t="s">
        <v>173</v>
      </c>
      <c r="B32" s="66">
        <v>21</v>
      </c>
      <c r="C32" s="67">
        <v>2022</v>
      </c>
      <c r="D32" s="68">
        <f ca="1">F32</f>
        <v>18220150.980058149</v>
      </c>
      <c r="E32" s="68">
        <v>108572.5</v>
      </c>
      <c r="F32" s="69">
        <f ca="1">IF($B32&gt;E$1,TREND(OFFSET($D$11,E$1+1,0):D$31,OFFSET($E$11,E$1+1,0):E$31,E32),"")</f>
        <v>18220150.980058149</v>
      </c>
      <c r="G32" s="68">
        <v>19738622.600000001</v>
      </c>
      <c r="H32" s="19">
        <f ca="1">D32/G32</f>
        <v>0.92307104448403343</v>
      </c>
      <c r="J32" s="71">
        <f ca="1">M32*(1+K32)</f>
        <v>95394.27470734292</v>
      </c>
      <c r="K32" s="72">
        <f>K3</f>
        <v>5.0000000000000001E-3</v>
      </c>
      <c r="L32" s="68">
        <f ca="1">IF($B32&gt;L$1,OFFSET($D$11,$B32-L$1,0),"")</f>
        <v>13615271.9</v>
      </c>
      <c r="M32" s="68">
        <f ca="1">IF($B32&gt;L$1,TREND(OFFSET($J$11,L$1+1,0):J$31,OFFSET($L$11,L$1+1,0):L$31,L32),"")</f>
        <v>94919.676325714361</v>
      </c>
    </row>
    <row r="33" spans="1:13" x14ac:dyDescent="0.25">
      <c r="A33" s="65"/>
      <c r="B33" s="66">
        <v>22</v>
      </c>
      <c r="C33" s="67">
        <v>2023</v>
      </c>
      <c r="D33" s="68">
        <f t="shared" ref="D33:D35" ca="1" si="1">F33</f>
        <v>20775926.179918163</v>
      </c>
      <c r="E33" s="68">
        <v>124522.3</v>
      </c>
      <c r="F33" s="69">
        <f ca="1">IF($B33&gt;E$1,TREND(OFFSET($D$11,E$1+1,0):D$31,OFFSET($E$11,E$1+1,0):E$31,E33),"")</f>
        <v>20775926.179918163</v>
      </c>
      <c r="G33" s="68">
        <v>24340433.200000003</v>
      </c>
      <c r="H33" s="19">
        <f ca="1">D33/G33</f>
        <v>0.85355613884136461</v>
      </c>
      <c r="J33" s="71">
        <f t="shared" ref="J33:J35" ca="1" si="2">M33*(1+K33)</f>
        <v>101451.88171121669</v>
      </c>
      <c r="K33" s="72">
        <f>K32+$K$4</f>
        <v>6.0000000000000001E-3</v>
      </c>
      <c r="L33" s="68">
        <f t="shared" ca="1" si="0"/>
        <v>14544325.699999999</v>
      </c>
      <c r="M33" s="68">
        <f ca="1">IF($B33&gt;L$1,TREND(OFFSET($J$11,L$1+1,0):J$31,OFFSET($L$11,L$1+1,0):L$31,L33),"")</f>
        <v>100846.800905782</v>
      </c>
    </row>
    <row r="34" spans="1:13" x14ac:dyDescent="0.25">
      <c r="A34" s="65"/>
      <c r="B34" s="66">
        <v>23</v>
      </c>
      <c r="C34" s="67">
        <v>2024</v>
      </c>
      <c r="D34" s="68">
        <f t="shared" ca="1" si="1"/>
        <v>24192391.503228508</v>
      </c>
      <c r="E34" s="68">
        <v>145843.40000000002</v>
      </c>
      <c r="F34" s="69">
        <f ca="1">IF($B34&gt;E$1,TREND(OFFSET($D$11,E$1+1,0):D$31,OFFSET($E$11,E$1+1,0):E$31,E34),"")</f>
        <v>24192391.503228508</v>
      </c>
      <c r="G34" s="68">
        <v>29177253.5</v>
      </c>
      <c r="H34" s="19">
        <f t="shared" ref="H34:H35" ca="1" si="3">D34/G34</f>
        <v>0.82915245957706429</v>
      </c>
      <c r="J34" s="71">
        <f t="shared" ca="1" si="2"/>
        <v>113516.02185494371</v>
      </c>
      <c r="K34" s="72">
        <f t="shared" ref="K34:K35" si="4">K33+$K$4</f>
        <v>7.0000000000000001E-3</v>
      </c>
      <c r="L34" s="68">
        <f t="shared" ca="1" si="0"/>
        <v>16406490.399999999</v>
      </c>
      <c r="M34" s="68">
        <f ca="1">IF($B34&gt;L$1,TREND(OFFSET($J$11,L$1+1,0):J$31,OFFSET($L$11,L$1+1,0):L$31,L34),"")</f>
        <v>112726.93332169187</v>
      </c>
    </row>
    <row r="35" spans="1:13" x14ac:dyDescent="0.25">
      <c r="A35" s="65"/>
      <c r="B35" s="66">
        <v>24</v>
      </c>
      <c r="C35" s="67">
        <v>2025</v>
      </c>
      <c r="D35" s="68">
        <f t="shared" ca="1" si="1"/>
        <v>25282662.075571038</v>
      </c>
      <c r="E35" s="68">
        <v>152647.44034584163</v>
      </c>
      <c r="F35" s="69">
        <f ca="1">IF($B35&gt;E$1,TREND(OFFSET($D$11,E$1+1,0):D$31,OFFSET($E$11,E$1+1,0):E$31,E35),"")</f>
        <v>25282662.075571038</v>
      </c>
      <c r="G35" s="68">
        <v>32463740.899999999</v>
      </c>
      <c r="H35" s="19">
        <f t="shared" ca="1" si="3"/>
        <v>0.77879694005231048</v>
      </c>
      <c r="J35" s="71">
        <f t="shared" ca="1" si="2"/>
        <v>125292.00288786017</v>
      </c>
      <c r="K35" s="72">
        <f t="shared" si="4"/>
        <v>8.0000000000000002E-3</v>
      </c>
      <c r="L35" s="68">
        <f t="shared" ca="1" si="0"/>
        <v>18220150.980058149</v>
      </c>
      <c r="M35" s="68">
        <f ca="1">IF($B35&gt;L$1,TREND(OFFSET($J$11,L$1+1,0):J$31,OFFSET($L$11,L$1+1,0):L$31,L35),"")</f>
        <v>124297.6219125597</v>
      </c>
    </row>
    <row r="36" spans="1:13" x14ac:dyDescent="0.25">
      <c r="A36" s="73"/>
    </row>
    <row r="37" spans="1:13" x14ac:dyDescent="0.25">
      <c r="A37" s="73"/>
    </row>
    <row r="38" spans="1:13" x14ac:dyDescent="0.25">
      <c r="A38" s="73"/>
    </row>
    <row r="39" spans="1:13" x14ac:dyDescent="0.25">
      <c r="A39" s="73"/>
    </row>
    <row r="40" spans="1:13" x14ac:dyDescent="0.25">
      <c r="A40" s="73"/>
    </row>
    <row r="41" spans="1:13" x14ac:dyDescent="0.25">
      <c r="A41" s="73"/>
    </row>
  </sheetData>
  <mergeCells count="2">
    <mergeCell ref="A12:A31"/>
    <mergeCell ref="A32:A35"/>
  </mergeCells>
  <conditionalFormatting sqref="H32:H3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04"/>
  <sheetViews>
    <sheetView zoomScale="70" zoomScaleNormal="70" workbookViewId="0">
      <selection sqref="A1:A3"/>
    </sheetView>
  </sheetViews>
  <sheetFormatPr defaultRowHeight="15" x14ac:dyDescent="0.25"/>
  <sheetData>
    <row r="1" spans="1:1" x14ac:dyDescent="0.25">
      <c r="A1" s="50">
        <v>1</v>
      </c>
    </row>
    <row r="2" spans="1:1" x14ac:dyDescent="0.25">
      <c r="A2" s="50"/>
    </row>
    <row r="3" spans="1:1" x14ac:dyDescent="0.25">
      <c r="A3" s="50"/>
    </row>
    <row r="39" spans="1:1" s="3" customFormat="1" x14ac:dyDescent="0.25"/>
    <row r="41" spans="1:1" x14ac:dyDescent="0.25">
      <c r="A41" s="50">
        <v>2</v>
      </c>
    </row>
    <row r="42" spans="1:1" x14ac:dyDescent="0.25">
      <c r="A42" s="50"/>
    </row>
    <row r="43" spans="1:1" x14ac:dyDescent="0.25">
      <c r="A43" s="50"/>
    </row>
    <row r="70" spans="1:1" x14ac:dyDescent="0.25">
      <c r="A70" s="50">
        <v>3</v>
      </c>
    </row>
    <row r="71" spans="1:1" x14ac:dyDescent="0.25">
      <c r="A71" s="50"/>
    </row>
    <row r="72" spans="1:1" x14ac:dyDescent="0.25">
      <c r="A72" s="50"/>
    </row>
    <row r="102" spans="1:1" x14ac:dyDescent="0.25">
      <c r="A102" s="50">
        <v>4</v>
      </c>
    </row>
    <row r="103" spans="1:1" x14ac:dyDescent="0.25">
      <c r="A103" s="50"/>
    </row>
    <row r="104" spans="1:1" x14ac:dyDescent="0.25">
      <c r="A104" s="50"/>
    </row>
  </sheetData>
  <mergeCells count="4">
    <mergeCell ref="A1:A3"/>
    <mergeCell ref="A41:A43"/>
    <mergeCell ref="A70:A72"/>
    <mergeCell ref="A102:A104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Задание</vt:lpstr>
      <vt:lpstr>Статистич</vt:lpstr>
      <vt:lpstr>Норматив</vt:lpstr>
      <vt:lpstr>Степенная</vt:lpstr>
      <vt:lpstr>NPV</vt:lpstr>
      <vt:lpstr>Refl_R</vt:lpstr>
      <vt:lpstr>Рисунки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Dasha</dc:creator>
  <cp:lastModifiedBy>HokoriDynasty</cp:lastModifiedBy>
  <dcterms:created xsi:type="dcterms:W3CDTF">2020-03-17T19:37:15Z</dcterms:created>
  <dcterms:modified xsi:type="dcterms:W3CDTF">2026-03-29T16:26:21Z</dcterms:modified>
</cp:coreProperties>
</file>