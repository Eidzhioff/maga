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koriDynasty\Desktop\Uni\maga\2sem\baklonovsky\"/>
    </mc:Choice>
  </mc:AlternateContent>
  <xr:revisionPtr revIDLastSave="0" documentId="13_ncr:1_{E3104179-8FEB-409D-ACF4-1E948EA4ABAD}" xr6:coauthVersionLast="36" xr6:coauthVersionMax="36" xr10:uidLastSave="{00000000-0000-0000-0000-000000000000}"/>
  <bookViews>
    <workbookView xWindow="0" yWindow="0" windowWidth="28800" windowHeight="12105" activeTab="5" xr2:uid="{00000000-000D-0000-FFFF-FFFF00000000}"/>
  </bookViews>
  <sheets>
    <sheet name="Задание" sheetId="4" r:id="rId1"/>
    <sheet name="Лист1" sheetId="14" r:id="rId2"/>
    <sheet name="Fiction" sheetId="6" r:id="rId3"/>
    <sheet name="Прогноз" sheetId="15" r:id="rId4"/>
    <sheet name="Байес" sheetId="13" r:id="rId5"/>
    <sheet name="Рисунки" sheetId="10" r:id="rId6"/>
  </sheets>
  <definedNames>
    <definedName name="solver_eng" localSheetId="2" hidden="1">1</definedName>
    <definedName name="solver_eng" localSheetId="4" hidden="1">1</definedName>
    <definedName name="solver_eng" localSheetId="3" hidden="1">1</definedName>
    <definedName name="solver_neg" localSheetId="2" hidden="1">1</definedName>
    <definedName name="solver_neg" localSheetId="4" hidden="1">1</definedName>
    <definedName name="solver_neg" localSheetId="3" hidden="1">1</definedName>
    <definedName name="solver_num" localSheetId="2" hidden="1">0</definedName>
    <definedName name="solver_num" localSheetId="4" hidden="1">0</definedName>
    <definedName name="solver_num" localSheetId="3" hidden="1">0</definedName>
    <definedName name="solver_opt" localSheetId="2" hidden="1">Fiction!$T$34</definedName>
    <definedName name="solver_opt" localSheetId="4" hidden="1">Байес!#REF!</definedName>
    <definedName name="solver_opt" localSheetId="3" hidden="1">Прогноз!$T$34</definedName>
    <definedName name="solver_typ" localSheetId="2" hidden="1">1</definedName>
    <definedName name="solver_typ" localSheetId="4" hidden="1">1</definedName>
    <definedName name="solver_typ" localSheetId="3" hidden="1">1</definedName>
    <definedName name="solver_val" localSheetId="2" hidden="1">0</definedName>
    <definedName name="solver_val" localSheetId="4" hidden="1">0</definedName>
    <definedName name="solver_val" localSheetId="3" hidden="1">0</definedName>
    <definedName name="solver_ver" localSheetId="2" hidden="1">3</definedName>
    <definedName name="solver_ver" localSheetId="4" hidden="1">3</definedName>
    <definedName name="solver_ver" localSheetId="3" hidden="1">3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13" l="1"/>
  <c r="S32" i="13"/>
  <c r="T32" i="13"/>
  <c r="U32" i="13"/>
  <c r="V32" i="13"/>
  <c r="S33" i="13"/>
  <c r="T33" i="13"/>
  <c r="U33" i="13"/>
  <c r="V33" i="13"/>
  <c r="S34" i="13"/>
  <c r="T34" i="13"/>
  <c r="U34" i="13"/>
  <c r="V34" i="13"/>
  <c r="T31" i="13"/>
  <c r="U31" i="13"/>
  <c r="V31" i="13"/>
  <c r="S31" i="13"/>
  <c r="R24" i="13"/>
  <c r="S20" i="13"/>
  <c r="T20" i="13"/>
  <c r="U20" i="13"/>
  <c r="V20" i="13"/>
  <c r="S21" i="13"/>
  <c r="T21" i="13"/>
  <c r="U21" i="13"/>
  <c r="V21" i="13"/>
  <c r="S22" i="13"/>
  <c r="T22" i="13"/>
  <c r="U22" i="13"/>
  <c r="V22" i="13"/>
  <c r="T19" i="13"/>
  <c r="U19" i="13"/>
  <c r="V19" i="13"/>
  <c r="S19" i="13"/>
  <c r="S7" i="13" l="1"/>
  <c r="T7" i="13"/>
  <c r="U7" i="13"/>
  <c r="V7" i="13"/>
  <c r="S8" i="13"/>
  <c r="T8" i="13"/>
  <c r="U8" i="13"/>
  <c r="V8" i="13"/>
  <c r="S9" i="13"/>
  <c r="T9" i="13"/>
  <c r="U9" i="13"/>
  <c r="V9" i="13"/>
  <c r="T6" i="13"/>
  <c r="U6" i="13"/>
  <c r="V6" i="13"/>
  <c r="S6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2" i="13"/>
  <c r="M33" i="13"/>
  <c r="M34" i="13"/>
  <c r="M35" i="13"/>
  <c r="M36" i="13"/>
  <c r="M37" i="13"/>
  <c r="M38" i="13"/>
  <c r="M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15" i="13"/>
  <c r="F38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15" i="13"/>
  <c r="K10" i="13"/>
  <c r="K8" i="13"/>
  <c r="K9" i="13" s="1"/>
  <c r="K6" i="13"/>
  <c r="K7" i="13" s="1"/>
  <c r="E9" i="13"/>
  <c r="E8" i="13"/>
  <c r="E7" i="13"/>
  <c r="E6" i="13"/>
  <c r="E10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15" i="13"/>
  <c r="R18" i="15" l="1"/>
  <c r="H50" i="15"/>
  <c r="H17" i="15"/>
  <c r="H16" i="15"/>
  <c r="F20" i="15" a="1"/>
  <c r="F20" i="15" s="1"/>
  <c r="F22" i="15" a="1"/>
  <c r="F22" i="15" s="1"/>
  <c r="T16" i="15"/>
  <c r="K16" i="15" a="1"/>
  <c r="N16" i="15" s="1"/>
  <c r="G4" i="15"/>
  <c r="T16" i="6"/>
  <c r="R18" i="6"/>
  <c r="K16" i="6" a="1"/>
  <c r="K16" i="6" s="1"/>
  <c r="G4" i="6"/>
  <c r="F17" i="6" a="1"/>
  <c r="F17" i="6" s="1"/>
  <c r="G17" i="6" s="1"/>
  <c r="N16" i="6" l="1"/>
  <c r="K16" i="15"/>
  <c r="K50" i="15"/>
  <c r="N50" i="15"/>
  <c r="M16" i="15"/>
  <c r="M50" i="15" s="1"/>
  <c r="G22" i="15"/>
  <c r="F49" i="15" a="1"/>
  <c r="F49" i="15" s="1"/>
  <c r="F47" i="15" a="1"/>
  <c r="F47" i="15" s="1"/>
  <c r="F45" i="15" a="1"/>
  <c r="F45" i="15" s="1"/>
  <c r="F43" i="15" a="1"/>
  <c r="F43" i="15" s="1"/>
  <c r="F41" i="15" a="1"/>
  <c r="F41" i="15" s="1"/>
  <c r="F24" i="15" a="1"/>
  <c r="F24" i="15" s="1"/>
  <c r="G24" i="15" s="1"/>
  <c r="G20" i="15"/>
  <c r="L16" i="15"/>
  <c r="L50" i="15" s="1"/>
  <c r="F40" i="15" a="1"/>
  <c r="F40" i="15" s="1"/>
  <c r="F38" i="15" a="1"/>
  <c r="F38" i="15" s="1"/>
  <c r="F36" i="15" a="1"/>
  <c r="F36" i="15" s="1"/>
  <c r="F34" i="15" a="1"/>
  <c r="F34" i="15" s="1"/>
  <c r="F32" i="15" a="1"/>
  <c r="F32" i="15" s="1"/>
  <c r="F30" i="15" a="1"/>
  <c r="F30" i="15" s="1"/>
  <c r="F28" i="15" a="1"/>
  <c r="F28" i="15" s="1"/>
  <c r="F26" i="15" a="1"/>
  <c r="F26" i="15" s="1"/>
  <c r="F17" i="15" a="1"/>
  <c r="F17" i="15" s="1"/>
  <c r="G17" i="15" s="1"/>
  <c r="F18" i="15" a="1"/>
  <c r="F18" i="15" s="1"/>
  <c r="G18" i="15" s="1"/>
  <c r="F19" i="15" a="1"/>
  <c r="F19" i="15" s="1"/>
  <c r="F21" i="15" a="1"/>
  <c r="F21" i="15" s="1"/>
  <c r="F23" i="15" a="1"/>
  <c r="F23" i="15" s="1"/>
  <c r="F25" i="15" a="1"/>
  <c r="F25" i="15" s="1"/>
  <c r="F27" i="15" a="1"/>
  <c r="F27" i="15" s="1"/>
  <c r="F29" i="15" a="1"/>
  <c r="F29" i="15" s="1"/>
  <c r="F31" i="15" a="1"/>
  <c r="F31" i="15" s="1"/>
  <c r="F33" i="15" a="1"/>
  <c r="F33" i="15" s="1"/>
  <c r="F35" i="15" a="1"/>
  <c r="F35" i="15" s="1"/>
  <c r="F37" i="15" a="1"/>
  <c r="F37" i="15" s="1"/>
  <c r="F39" i="15" a="1"/>
  <c r="F39" i="15" s="1"/>
  <c r="F42" i="15" a="1"/>
  <c r="F42" i="15" s="1"/>
  <c r="F44" i="15" a="1"/>
  <c r="F44" i="15" s="1"/>
  <c r="F46" i="15" a="1"/>
  <c r="F46" i="15" s="1"/>
  <c r="F48" i="15" a="1"/>
  <c r="F48" i="15" s="1"/>
  <c r="F50" i="15" a="1"/>
  <c r="F50" i="15" s="1"/>
  <c r="L16" i="6"/>
  <c r="M16" i="6"/>
  <c r="F50" i="6" a="1"/>
  <c r="F50" i="6" s="1"/>
  <c r="F48" i="6" a="1"/>
  <c r="F48" i="6" s="1"/>
  <c r="F46" i="6" a="1"/>
  <c r="F46" i="6" s="1"/>
  <c r="F44" i="6" a="1"/>
  <c r="F44" i="6" s="1"/>
  <c r="F42" i="6" a="1"/>
  <c r="F42" i="6" s="1"/>
  <c r="F40" i="6" a="1"/>
  <c r="F40" i="6" s="1"/>
  <c r="F38" i="6" a="1"/>
  <c r="F38" i="6" s="1"/>
  <c r="F36" i="6" a="1"/>
  <c r="F36" i="6" s="1"/>
  <c r="F34" i="6" a="1"/>
  <c r="F34" i="6" s="1"/>
  <c r="F32" i="6" a="1"/>
  <c r="F32" i="6" s="1"/>
  <c r="F30" i="6" a="1"/>
  <c r="F30" i="6" s="1"/>
  <c r="F28" i="6" a="1"/>
  <c r="F28" i="6" s="1"/>
  <c r="F26" i="6" a="1"/>
  <c r="F26" i="6" s="1"/>
  <c r="F24" i="6" a="1"/>
  <c r="F24" i="6" s="1"/>
  <c r="F22" i="6" a="1"/>
  <c r="F22" i="6" s="1"/>
  <c r="F20" i="6" a="1"/>
  <c r="F20" i="6" s="1"/>
  <c r="F18" i="6" a="1"/>
  <c r="F18" i="6" s="1"/>
  <c r="F49" i="6" a="1"/>
  <c r="F49" i="6" s="1"/>
  <c r="F47" i="6" a="1"/>
  <c r="F47" i="6" s="1"/>
  <c r="F45" i="6" a="1"/>
  <c r="F45" i="6" s="1"/>
  <c r="F43" i="6" a="1"/>
  <c r="F43" i="6" s="1"/>
  <c r="F41" i="6" a="1"/>
  <c r="F41" i="6" s="1"/>
  <c r="F39" i="6" a="1"/>
  <c r="F39" i="6" s="1"/>
  <c r="F37" i="6" a="1"/>
  <c r="F37" i="6" s="1"/>
  <c r="F35" i="6" a="1"/>
  <c r="F35" i="6" s="1"/>
  <c r="F33" i="6" a="1"/>
  <c r="F33" i="6" s="1"/>
  <c r="F31" i="6" a="1"/>
  <c r="F31" i="6" s="1"/>
  <c r="F29" i="6" a="1"/>
  <c r="F29" i="6" s="1"/>
  <c r="F27" i="6" a="1"/>
  <c r="F27" i="6" s="1"/>
  <c r="F25" i="6" a="1"/>
  <c r="F25" i="6" s="1"/>
  <c r="F23" i="6" a="1"/>
  <c r="F23" i="6" s="1"/>
  <c r="F21" i="6" a="1"/>
  <c r="F21" i="6" s="1"/>
  <c r="F19" i="6" a="1"/>
  <c r="F19" i="6" s="1"/>
  <c r="G38" i="15" l="1"/>
  <c r="G34" i="15"/>
  <c r="G30" i="15"/>
  <c r="G26" i="15"/>
  <c r="G23" i="15"/>
  <c r="G39" i="15"/>
  <c r="G35" i="15"/>
  <c r="G31" i="15"/>
  <c r="G27" i="15"/>
  <c r="G40" i="15"/>
  <c r="G36" i="15"/>
  <c r="G32" i="15"/>
  <c r="G28" i="15"/>
  <c r="G21" i="15"/>
  <c r="G19" i="15"/>
  <c r="G37" i="15"/>
  <c r="G33" i="15"/>
  <c r="G29" i="15"/>
  <c r="G25" i="15"/>
  <c r="G21" i="6"/>
  <c r="G25" i="6"/>
  <c r="G29" i="6"/>
  <c r="G33" i="6"/>
  <c r="G37" i="6"/>
  <c r="G20" i="6"/>
  <c r="G24" i="6"/>
  <c r="G28" i="6"/>
  <c r="G32" i="6"/>
  <c r="G36" i="6"/>
  <c r="G40" i="6"/>
  <c r="G19" i="6"/>
  <c r="G23" i="6"/>
  <c r="G27" i="6"/>
  <c r="G31" i="6"/>
  <c r="G35" i="6"/>
  <c r="G39" i="6"/>
  <c r="G18" i="6"/>
  <c r="G22" i="6"/>
  <c r="G26" i="6"/>
  <c r="G30" i="6"/>
  <c r="G34" i="6"/>
  <c r="G38" i="6"/>
  <c r="M5" i="15" l="1"/>
  <c r="L9" i="15"/>
  <c r="L5" i="15"/>
  <c r="M6" i="15"/>
  <c r="M9" i="15"/>
  <c r="M7" i="15"/>
  <c r="M8" i="15"/>
  <c r="N9" i="6"/>
  <c r="N5" i="6"/>
  <c r="P19" i="6"/>
  <c r="P21" i="6"/>
  <c r="P23" i="6"/>
  <c r="P25" i="6"/>
  <c r="P27" i="6"/>
  <c r="P29" i="6"/>
  <c r="P31" i="6"/>
  <c r="P33" i="6"/>
  <c r="P35" i="6"/>
  <c r="P37" i="6"/>
  <c r="P39" i="6"/>
  <c r="P18" i="6"/>
  <c r="P38" i="6"/>
  <c r="P34" i="6"/>
  <c r="P30" i="6"/>
  <c r="P26" i="6"/>
  <c r="P22" i="6"/>
  <c r="P40" i="6"/>
  <c r="P36" i="6"/>
  <c r="P32" i="6"/>
  <c r="P28" i="6"/>
  <c r="P24" i="6"/>
  <c r="P20" i="6"/>
  <c r="P17" i="6"/>
  <c r="M6" i="6"/>
  <c r="M7" i="6"/>
  <c r="M9" i="6"/>
  <c r="M8" i="6"/>
  <c r="M5" i="6"/>
  <c r="L9" i="6"/>
  <c r="L5" i="6"/>
  <c r="G5" i="6" s="1"/>
  <c r="G9" i="15" l="1"/>
  <c r="G5" i="15"/>
  <c r="L6" i="15"/>
  <c r="G9" i="6"/>
  <c r="L6" i="6"/>
  <c r="L7" i="6" s="1"/>
  <c r="L7" i="15" l="1"/>
  <c r="G6" i="15"/>
  <c r="G6" i="6"/>
  <c r="L8" i="6"/>
  <c r="G8" i="6" s="1"/>
  <c r="G7" i="6"/>
  <c r="H35" i="6" l="1"/>
  <c r="K35" i="6" s="1"/>
  <c r="L8" i="15"/>
  <c r="G8" i="15" s="1"/>
  <c r="G7" i="15"/>
  <c r="H17" i="6"/>
  <c r="H40" i="6"/>
  <c r="H24" i="6"/>
  <c r="H29" i="6"/>
  <c r="H34" i="6"/>
  <c r="H18" i="6"/>
  <c r="H39" i="6"/>
  <c r="H36" i="6"/>
  <c r="H20" i="6"/>
  <c r="H25" i="6"/>
  <c r="H30" i="6"/>
  <c r="H31" i="6"/>
  <c r="H32" i="6"/>
  <c r="H37" i="6"/>
  <c r="H21" i="6"/>
  <c r="H26" i="6"/>
  <c r="H27" i="6"/>
  <c r="H23" i="6"/>
  <c r="H28" i="6"/>
  <c r="H33" i="6"/>
  <c r="H38" i="6"/>
  <c r="H22" i="6"/>
  <c r="H19" i="6"/>
  <c r="N35" i="6" l="1"/>
  <c r="L35" i="6"/>
  <c r="M35" i="6"/>
  <c r="H49" i="15"/>
  <c r="K49" i="15" s="1"/>
  <c r="H47" i="15"/>
  <c r="H48" i="15"/>
  <c r="H45" i="15"/>
  <c r="H46" i="15"/>
  <c r="H43" i="15"/>
  <c r="H44" i="15"/>
  <c r="H25" i="15"/>
  <c r="H36" i="15"/>
  <c r="H42" i="15"/>
  <c r="H41" i="15"/>
  <c r="H37" i="15"/>
  <c r="H26" i="15"/>
  <c r="H39" i="15"/>
  <c r="H28" i="15"/>
  <c r="H34" i="15"/>
  <c r="H40" i="15"/>
  <c r="H38" i="15"/>
  <c r="H20" i="15"/>
  <c r="H27" i="15"/>
  <c r="H22" i="15"/>
  <c r="N22" i="15" s="1"/>
  <c r="H21" i="15"/>
  <c r="H19" i="15"/>
  <c r="H24" i="15"/>
  <c r="H29" i="15"/>
  <c r="H35" i="15"/>
  <c r="N35" i="15" s="1"/>
  <c r="H33" i="15"/>
  <c r="H31" i="15"/>
  <c r="H32" i="15"/>
  <c r="H30" i="15"/>
  <c r="H23" i="15"/>
  <c r="H18" i="15"/>
  <c r="J5" i="6"/>
  <c r="J6" i="6"/>
  <c r="J8" i="6"/>
  <c r="J7" i="6"/>
  <c r="I6" i="6"/>
  <c r="I8" i="6"/>
  <c r="I7" i="6"/>
  <c r="I5" i="6"/>
  <c r="K22" i="6"/>
  <c r="M22" i="6"/>
  <c r="L22" i="6"/>
  <c r="N22" i="6"/>
  <c r="K33" i="6"/>
  <c r="M33" i="6"/>
  <c r="L33" i="6"/>
  <c r="N33" i="6"/>
  <c r="K23" i="6"/>
  <c r="M23" i="6"/>
  <c r="L23" i="6"/>
  <c r="N23" i="6"/>
  <c r="K26" i="6"/>
  <c r="M26" i="6"/>
  <c r="L26" i="6"/>
  <c r="N26" i="6"/>
  <c r="K37" i="6"/>
  <c r="M37" i="6"/>
  <c r="L37" i="6"/>
  <c r="N37" i="6"/>
  <c r="K31" i="6"/>
  <c r="M31" i="6"/>
  <c r="L31" i="6"/>
  <c r="N31" i="6"/>
  <c r="K25" i="6"/>
  <c r="M25" i="6"/>
  <c r="L25" i="6"/>
  <c r="N25" i="6"/>
  <c r="K36" i="6"/>
  <c r="M36" i="6"/>
  <c r="L36" i="6"/>
  <c r="N36" i="6"/>
  <c r="K18" i="6"/>
  <c r="M18" i="6"/>
  <c r="L18" i="6"/>
  <c r="N18" i="6"/>
  <c r="K29" i="6"/>
  <c r="M29" i="6"/>
  <c r="L29" i="6"/>
  <c r="N29" i="6"/>
  <c r="K40" i="6"/>
  <c r="M40" i="6"/>
  <c r="N40" i="6"/>
  <c r="L40" i="6"/>
  <c r="K19" i="6"/>
  <c r="M19" i="6"/>
  <c r="L19" i="6"/>
  <c r="N19" i="6"/>
  <c r="K38" i="6"/>
  <c r="M38" i="6"/>
  <c r="N38" i="6"/>
  <c r="L38" i="6"/>
  <c r="K28" i="6"/>
  <c r="M28" i="6"/>
  <c r="L28" i="6"/>
  <c r="N28" i="6"/>
  <c r="K27" i="6"/>
  <c r="M27" i="6"/>
  <c r="L27" i="6"/>
  <c r="N27" i="6"/>
  <c r="K21" i="6"/>
  <c r="M21" i="6"/>
  <c r="L21" i="6"/>
  <c r="N21" i="6"/>
  <c r="K32" i="6"/>
  <c r="M32" i="6"/>
  <c r="L32" i="6"/>
  <c r="N32" i="6"/>
  <c r="K30" i="6"/>
  <c r="M30" i="6"/>
  <c r="L30" i="6"/>
  <c r="N30" i="6"/>
  <c r="K20" i="6"/>
  <c r="M20" i="6"/>
  <c r="L20" i="6"/>
  <c r="N20" i="6"/>
  <c r="K39" i="6"/>
  <c r="M39" i="6"/>
  <c r="N39" i="6"/>
  <c r="L39" i="6"/>
  <c r="K34" i="6"/>
  <c r="M34" i="6"/>
  <c r="L34" i="6"/>
  <c r="N34" i="6"/>
  <c r="K24" i="6"/>
  <c r="M24" i="6"/>
  <c r="L24" i="6"/>
  <c r="N24" i="6"/>
  <c r="K17" i="6"/>
  <c r="L17" i="6"/>
  <c r="N17" i="6"/>
  <c r="M17" i="6"/>
  <c r="J6" i="15" l="1"/>
  <c r="J8" i="15"/>
  <c r="J7" i="15"/>
  <c r="J5" i="15"/>
  <c r="N49" i="15"/>
  <c r="M49" i="15"/>
  <c r="L49" i="15"/>
  <c r="K41" i="15"/>
  <c r="M41" i="15"/>
  <c r="L41" i="15"/>
  <c r="N41" i="15"/>
  <c r="K44" i="15"/>
  <c r="M44" i="15"/>
  <c r="L44" i="15"/>
  <c r="N44" i="15"/>
  <c r="K46" i="15"/>
  <c r="M46" i="15"/>
  <c r="L46" i="15"/>
  <c r="N46" i="15"/>
  <c r="K48" i="15"/>
  <c r="M48" i="15"/>
  <c r="L48" i="15"/>
  <c r="N48" i="15"/>
  <c r="K42" i="15"/>
  <c r="M42" i="15"/>
  <c r="L42" i="15"/>
  <c r="N42" i="15"/>
  <c r="K43" i="15"/>
  <c r="M43" i="15"/>
  <c r="L43" i="15"/>
  <c r="N43" i="15"/>
  <c r="K45" i="15"/>
  <c r="M45" i="15"/>
  <c r="L45" i="15"/>
  <c r="N45" i="15"/>
  <c r="K47" i="15"/>
  <c r="M47" i="15"/>
  <c r="L47" i="15"/>
  <c r="N47" i="15"/>
  <c r="M35" i="15"/>
  <c r="L35" i="15"/>
  <c r="K35" i="15"/>
  <c r="K22" i="15"/>
  <c r="L22" i="15"/>
  <c r="M22" i="15"/>
  <c r="M18" i="15"/>
  <c r="K18" i="15"/>
  <c r="N18" i="15"/>
  <c r="L18" i="15"/>
  <c r="M19" i="15"/>
  <c r="K19" i="15"/>
  <c r="L19" i="15"/>
  <c r="N19" i="15"/>
  <c r="N37" i="15"/>
  <c r="L37" i="15"/>
  <c r="K37" i="15"/>
  <c r="M37" i="15"/>
  <c r="N33" i="15"/>
  <c r="L33" i="15"/>
  <c r="K33" i="15"/>
  <c r="M33" i="15"/>
  <c r="M34" i="15"/>
  <c r="K34" i="15"/>
  <c r="N34" i="15"/>
  <c r="L34" i="15"/>
  <c r="M23" i="15"/>
  <c r="K23" i="15"/>
  <c r="N23" i="15"/>
  <c r="L23" i="15"/>
  <c r="N24" i="15"/>
  <c r="L24" i="15"/>
  <c r="M24" i="15"/>
  <c r="K24" i="15"/>
  <c r="M28" i="15"/>
  <c r="K28" i="15"/>
  <c r="N28" i="15"/>
  <c r="L28" i="15"/>
  <c r="M40" i="15"/>
  <c r="K40" i="15"/>
  <c r="N40" i="15"/>
  <c r="L40" i="15"/>
  <c r="M21" i="15"/>
  <c r="K21" i="15"/>
  <c r="L21" i="15"/>
  <c r="N21" i="15"/>
  <c r="N31" i="15"/>
  <c r="L31" i="15"/>
  <c r="K31" i="15"/>
  <c r="M31" i="15"/>
  <c r="N20" i="15"/>
  <c r="L20" i="15"/>
  <c r="M20" i="15"/>
  <c r="K20" i="15"/>
  <c r="N27" i="15"/>
  <c r="L27" i="15"/>
  <c r="K27" i="15"/>
  <c r="M27" i="15"/>
  <c r="N39" i="15"/>
  <c r="L39" i="15"/>
  <c r="K39" i="15"/>
  <c r="M39" i="15"/>
  <c r="M36" i="15"/>
  <c r="K36" i="15"/>
  <c r="N36" i="15"/>
  <c r="L36" i="15"/>
  <c r="M32" i="15"/>
  <c r="K32" i="15"/>
  <c r="N32" i="15"/>
  <c r="L32" i="15"/>
  <c r="M17" i="15"/>
  <c r="K17" i="15"/>
  <c r="I7" i="15"/>
  <c r="I5" i="15"/>
  <c r="L17" i="15"/>
  <c r="I6" i="15"/>
  <c r="N17" i="15"/>
  <c r="I8" i="15"/>
  <c r="M25" i="15"/>
  <c r="K25" i="15"/>
  <c r="N25" i="15"/>
  <c r="L25" i="15"/>
  <c r="M26" i="15"/>
  <c r="K26" i="15"/>
  <c r="N26" i="15"/>
  <c r="L26" i="15"/>
  <c r="M30" i="15"/>
  <c r="K30" i="15"/>
  <c r="N30" i="15"/>
  <c r="L30" i="15"/>
  <c r="N29" i="15"/>
  <c r="L29" i="15"/>
  <c r="K29" i="15"/>
  <c r="M29" i="15"/>
  <c r="M38" i="15"/>
  <c r="K38" i="15"/>
  <c r="N38" i="15"/>
  <c r="L38" i="15"/>
  <c r="J9" i="6"/>
  <c r="L13" i="6"/>
  <c r="N13" i="6"/>
  <c r="M13" i="6"/>
  <c r="K13" i="6"/>
  <c r="J9" i="15" l="1"/>
  <c r="M13" i="15"/>
  <c r="K13" i="15"/>
  <c r="L13" i="15"/>
  <c r="N13" i="15"/>
  <c r="E17" i="6"/>
  <c r="E35" i="6"/>
  <c r="E22" i="6"/>
  <c r="E23" i="6"/>
  <c r="E37" i="6"/>
  <c r="E25" i="6"/>
  <c r="E18" i="6"/>
  <c r="E40" i="6"/>
  <c r="E38" i="6"/>
  <c r="E27" i="6"/>
  <c r="E32" i="6"/>
  <c r="E20" i="6"/>
  <c r="E34" i="6"/>
  <c r="E33" i="6"/>
  <c r="E26" i="6"/>
  <c r="E31" i="6"/>
  <c r="E36" i="6"/>
  <c r="E29" i="6"/>
  <c r="E19" i="6"/>
  <c r="E28" i="6"/>
  <c r="E21" i="6"/>
  <c r="E30" i="6"/>
  <c r="E39" i="6"/>
  <c r="E24" i="6"/>
  <c r="N6" i="4"/>
  <c r="E50" i="15" l="1"/>
  <c r="E49" i="15"/>
  <c r="E46" i="15"/>
  <c r="E42" i="15"/>
  <c r="E45" i="15"/>
  <c r="E44" i="15"/>
  <c r="E48" i="15"/>
  <c r="E43" i="15"/>
  <c r="E47" i="15"/>
  <c r="E41" i="15"/>
  <c r="E32" i="15"/>
  <c r="E27" i="15"/>
  <c r="E19" i="15"/>
  <c r="E28" i="15"/>
  <c r="E20" i="15"/>
  <c r="E37" i="15"/>
  <c r="E29" i="15"/>
  <c r="E23" i="15"/>
  <c r="E21" i="15"/>
  <c r="E35" i="15"/>
  <c r="E22" i="15"/>
  <c r="E25" i="15"/>
  <c r="E30" i="15"/>
  <c r="E33" i="15"/>
  <c r="E39" i="15"/>
  <c r="E18" i="15"/>
  <c r="E34" i="15"/>
  <c r="E24" i="15"/>
  <c r="E40" i="15"/>
  <c r="E31" i="15"/>
  <c r="E36" i="15"/>
  <c r="E17" i="15"/>
  <c r="E26" i="15"/>
  <c r="E38" i="15"/>
  <c r="D5" i="6"/>
  <c r="D6" i="6" s="1"/>
  <c r="S17" i="6" s="1"/>
  <c r="Q5" i="13"/>
  <c r="Q30" i="13" s="1"/>
  <c r="P5" i="13"/>
  <c r="P30" i="13" s="1"/>
  <c r="D5" i="15" l="1"/>
  <c r="Q18" i="13"/>
  <c r="P18" i="13"/>
  <c r="D6" i="15" l="1"/>
  <c r="S17" i="15" s="1"/>
</calcChain>
</file>

<file path=xl/sharedStrings.xml><?xml version="1.0" encoding="utf-8"?>
<sst xmlns="http://schemas.openxmlformats.org/spreadsheetml/2006/main" count="351" uniqueCount="190">
  <si>
    <t>t</t>
  </si>
  <si>
    <t>Y</t>
  </si>
  <si>
    <t>Порядок работы:</t>
  </si>
  <si>
    <t>Из исходных данных взять [любой] один ряд, например ВВП.</t>
  </si>
  <si>
    <t>года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</si>
  <si>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</si>
  <si>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</si>
  <si>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</si>
  <si>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</si>
  <si>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</si>
  <si>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</si>
  <si>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</si>
  <si>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</si>
  <si>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</si>
  <si>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</si>
  <si>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</si>
  <si>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</si>
  <si>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</si>
  <si>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</si>
  <si>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</si>
  <si>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</si>
  <si>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</si>
  <si>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X</t>
  </si>
  <si>
    <t>№</t>
  </si>
  <si>
    <t>Y^</t>
  </si>
  <si>
    <t>база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</si>
  <si>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</si>
  <si>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</si>
  <si>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</si>
  <si>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</si>
  <si>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</si>
  <si>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</si>
  <si>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</si>
  <si>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</si>
  <si>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</si>
  <si>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</si>
  <si>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горизонт</t>
  </si>
  <si>
    <t>X1</t>
  </si>
  <si>
    <t>X2</t>
  </si>
  <si>
    <t>(по желанию)</t>
  </si>
  <si>
    <t>ERR</t>
  </si>
  <si>
    <t>Ситуация</t>
  </si>
  <si>
    <t>а</t>
  </si>
  <si>
    <t>ситуация</t>
  </si>
  <si>
    <t>средняя ERR</t>
  </si>
  <si>
    <t>Таблица преобразования шкалы</t>
  </si>
  <si>
    <t>Сводная таблица</t>
  </si>
  <si>
    <t>Таблица параметров регрессии</t>
  </si>
  <si>
    <t>тренд</t>
  </si>
  <si>
    <t>Y-Y^</t>
  </si>
  <si>
    <t>X3</t>
  </si>
  <si>
    <t>X4</t>
  </si>
  <si>
    <t>Регрессия с фиктивными переменными</t>
  </si>
  <si>
    <t>Вывести на график и рассчитать в таблице адекватный тренд.</t>
  </si>
  <si>
    <t>Рассчитать ошибку тренда.</t>
  </si>
  <si>
    <t>Разбить диапазон ошибки на равные по заполняемости интервалы:</t>
  </si>
  <si>
    <t xml:space="preserve"> - используя функцию КВАРТИЛЬ() (для 4х интервалов по 25% каждый) или</t>
  </si>
  <si>
    <t xml:space="preserve"> - используя функцию ПЕРСЕНТЕЛЬ() (для k интервалов по 1/k% каждый)</t>
  </si>
  <si>
    <t>Преобразовать ошибку в качественный признак "Ситуации":</t>
  </si>
  <si>
    <t>Сопоставить каждый диапазон Ситуации (дать диапазону название)</t>
  </si>
  <si>
    <t>Таблицу исходных данных дополнить столбцом Ситуаций - фактором регрессии, используя функцию ВПР()</t>
  </si>
  <si>
    <t>Перевести единый качественный признак Х в фиктивные переменные Х1…Хk, такие что Xi(t)=1 если X=Xi и Xi(t)=0 в остальных случаях.</t>
  </si>
  <si>
    <t xml:space="preserve"> - через Анализ данных - Регрессия (Константа - ноль)</t>
  </si>
  <si>
    <t>Рассчитать параметры регресии ERR(X1…Xk) с нулевым свободным членом (т.к. ERR в среднем = 0):</t>
  </si>
  <si>
    <t xml:space="preserve"> - через использование функций ИНДЕКС(ЛИНЕЙН(     ;     ; конст=0))</t>
  </si>
  <si>
    <t xml:space="preserve"> - через дополнение таблицы преобразования шкал столбцом средней ошибки по ситуации, используя СРЗНАЧЕСЛИ()</t>
  </si>
  <si>
    <t xml:space="preserve"> - через создание Сводной таблицы</t>
  </si>
  <si>
    <t>Записать вывод, уточняющий прогноз по тренду (вариант интервального прогноза).</t>
  </si>
  <si>
    <t>Создать таблицу зависимости изменения параметров регрессии при изменении лага упреждения (например, введя в формулы ссылку на лаг и используя таблицу подстановки)</t>
  </si>
  <si>
    <t>Записать вывод о том, как сложившаяся ранее ситуация корректирует прогноз по тренду.</t>
  </si>
  <si>
    <t>Х</t>
  </si>
  <si>
    <t>Y^ = A(X)</t>
  </si>
  <si>
    <t>Байес</t>
  </si>
  <si>
    <t>Таблица потерь, как квадратов рангов (№) ситуаций</t>
  </si>
  <si>
    <t>Таблица Т1 совместного распределения Y и Х</t>
  </si>
  <si>
    <t>Таблица Т2 потерь от неточности классификатора</t>
  </si>
  <si>
    <t>Суммарные потери Sum(Т1*Т2):</t>
  </si>
  <si>
    <t>Сумма квадратов потерь Sum(Т1*Т3):</t>
  </si>
  <si>
    <t>Аналогично ранее проделанной работе, перевести в Ситуации другой ряд (например, Численность). Взять один ряд за Y, другой за Х.</t>
  </si>
  <si>
    <t>Построить таблицу Т1 совместного распределения двух этих рядов, используя функцию СЧЁТЕСЛИМН()</t>
  </si>
  <si>
    <t>Построить таблицу Т2 критерия точности классификатора для Байесовской регрессии (алгоритма):</t>
  </si>
  <si>
    <t xml:space="preserve"> - дополнить таблицу совместного распределения (X,Y) столбцом преобразования Х в модельные значения Y^. Значения столбца произвольны в диапазоне возможных значений Y.</t>
  </si>
  <si>
    <t>Вынести в ячейку суммарную ошибку классификатора Z , используя СУММПРОИЗВ(Т1;Т2).</t>
  </si>
  <si>
    <t xml:space="preserve">Прописать ПоискРешения целочисленной задачи минимизации Z, путём изменения ячеек байесовского алгоритма Y^. </t>
  </si>
  <si>
    <t>Сопоставить полученный результат с теоретически верным - модальным значениям Y по Х. Записать вывод.</t>
  </si>
  <si>
    <t>Байесовская регрессия по критерию минимальной ошибки классификатора</t>
  </si>
  <si>
    <t>Байесовская регрессия по критерию минимальной суммы квадратов рангов</t>
  </si>
  <si>
    <t>Аналогично Т2, построить таблицу Т3 критерия наименьших квадратов рангов:</t>
  </si>
  <si>
    <t xml:space="preserve"> - рассчитать квадраты разностей между столбецом Y^ и строкой Y.</t>
  </si>
  <si>
    <t>Вынести в ячейку суммарную ошибку квадратов Z , используя СУММПРОИЗВ(Т1;Т3).</t>
  </si>
  <si>
    <t>Сопоставить полученный результат с теоретически верным - средневзвешенной Y по р(Y/Х). Записать вывод.</t>
  </si>
  <si>
    <t>Сделать вывод о сравнительной результативности критериев.</t>
  </si>
  <si>
    <t>Введя для признака Х лаг упреждения, построить прогноз(ы) по байесовской регрессиии.</t>
  </si>
  <si>
    <t>Изменить в ПоискРешения Z и Y^, перерешать задачу.</t>
  </si>
  <si>
    <t xml:space="preserve">Ситуация </t>
  </si>
  <si>
    <t>№ Ситуации</t>
  </si>
  <si>
    <t xml:space="preserve">Таблица преобразования шкалы </t>
  </si>
  <si>
    <t>Занятие №</t>
  </si>
  <si>
    <t>группа</t>
  </si>
  <si>
    <t>студент</t>
  </si>
  <si>
    <t>вариант</t>
  </si>
  <si>
    <t>Всего по перечисленным видам деятельности</t>
  </si>
  <si>
    <t>Авторизовать файл:</t>
  </si>
  <si>
    <t xml:space="preserve"> - сохранить файл, дав ему название по шаблону: &lt;Группа_без_тире&gt; &lt;номер_занятия_двумя_цифрами&gt; &lt;ФамилияИО&gt;</t>
  </si>
  <si>
    <t xml:space="preserve"> - исправить внутри файла группу и фамилию</t>
  </si>
  <si>
    <t>Тема:</t>
  </si>
  <si>
    <t>Задачи:</t>
  </si>
  <si>
    <t>Регрессия качественных признаков</t>
  </si>
  <si>
    <t xml:space="preserve"> - регрессия с фиктивными переменными</t>
  </si>
  <si>
    <t>Y - количество, X - качество</t>
  </si>
  <si>
    <t xml:space="preserve"> - регрессия Байеса</t>
  </si>
  <si>
    <t>Y , X - качество</t>
  </si>
  <si>
    <t>Углубим трендовую модель, проанализировав (качественный) размер ошибки (модели тренда).</t>
  </si>
  <si>
    <r>
      <t xml:space="preserve">Построение и способы параметризации - </t>
    </r>
    <r>
      <rPr>
        <b/>
        <i/>
        <sz val="11"/>
        <color theme="1"/>
        <rFont val="Calibri"/>
        <family val="2"/>
        <charset val="204"/>
        <scheme val="minor"/>
      </rPr>
      <t>рис.1</t>
    </r>
    <r>
      <rPr>
        <i/>
        <sz val="11"/>
        <color theme="1"/>
        <rFont val="Calibri"/>
        <family val="2"/>
        <charset val="204"/>
        <scheme val="minor"/>
      </rPr>
      <t>.</t>
    </r>
  </si>
  <si>
    <r>
      <t xml:space="preserve">Прогнозирование - </t>
    </r>
    <r>
      <rPr>
        <b/>
        <i/>
        <sz val="11"/>
        <color theme="1"/>
        <rFont val="Calibri"/>
        <family val="2"/>
        <charset val="204"/>
        <scheme val="minor"/>
      </rPr>
      <t>рис.2</t>
    </r>
    <r>
      <rPr>
        <i/>
        <sz val="11"/>
        <color theme="1"/>
        <rFont val="Calibri"/>
        <family val="2"/>
        <charset val="204"/>
        <scheme val="minor"/>
      </rPr>
      <t>.</t>
    </r>
  </si>
  <si>
    <t>Скопировать предшествующий лист, оставив один способ расчёта параметров регрессии (через функции ИНДЕКС(ЛИНЕЙН()) )</t>
  </si>
  <si>
    <t>Ввести лаг упреждения прогноза (от 1 и до …), на основании которого фиктивные переменные сдвигаются вперёд по ходу времени:</t>
  </si>
  <si>
    <t xml:space="preserve"> - вынести значение лага в отдельную ячейку</t>
  </si>
  <si>
    <t xml:space="preserve"> - ввести его в формулу расчёта фиктивных переменных</t>
  </si>
  <si>
    <t xml:space="preserve"> - ввести его ф формулу расчёта параметров регрессии</t>
  </si>
  <si>
    <t>Выбрать один из лагов и</t>
  </si>
  <si>
    <t>(по желанию) Рассчитать прогноз на горизонт в лаг упреждения</t>
  </si>
  <si>
    <t>Байесовская регрессия - рис.3.</t>
  </si>
  <si>
    <t>Только теперь Ситуации не тольно назвать, но и (численно) закодировать.</t>
  </si>
  <si>
    <t xml:space="preserve"> - сопоставить этот столбец Y^ со строкой Y по принципу "совпал - не совпал" (классификатор точен / неточен), используя ф.ЕСЛИ(). Если совпал - 0 (ошибки нет), иначе - 1 (ошибка).</t>
  </si>
  <si>
    <t>2029</t>
  </si>
  <si>
    <t>2030</t>
  </si>
  <si>
    <t>2031</t>
  </si>
  <si>
    <t>Структура таблицы на рабочих листах отличается от структуры на рисунах в связи с изменеием длины исходных данных.</t>
  </si>
  <si>
    <t>2032</t>
  </si>
  <si>
    <t>2033</t>
  </si>
  <si>
    <t>2034</t>
  </si>
  <si>
    <t>ПМ-2541</t>
  </si>
  <si>
    <t>2035</t>
  </si>
  <si>
    <t>План:</t>
  </si>
  <si>
    <t>1. Базовая регрессия с фиктивными переменными</t>
  </si>
  <si>
    <t>Y^^ = Y^ + K</t>
  </si>
  <si>
    <t>Y^ = модель: средне / тренд / регрессия</t>
  </si>
  <si>
    <t>К - отдача фиктивных переменных</t>
  </si>
  <si>
    <t>Гиперпараметры:</t>
  </si>
  <si>
    <t xml:space="preserve">тренд: </t>
  </si>
  <si>
    <t>тип тренда: степень полинома</t>
  </si>
  <si>
    <t>К:</t>
  </si>
  <si>
    <t xml:space="preserve">способ формирования: </t>
  </si>
  <si>
    <t>равное деление</t>
  </si>
  <si>
    <t>равное наполнение</t>
  </si>
  <si>
    <t>ручное деление</t>
  </si>
  <si>
    <t>описание</t>
  </si>
  <si>
    <t>2. Прогностическая модель</t>
  </si>
  <si>
    <t xml:space="preserve"> -----------// -------- +</t>
  </si>
  <si>
    <t>период сдвига</t>
  </si>
  <si>
    <t>прогноз</t>
  </si>
  <si>
    <t>модель 1й переменной</t>
  </si>
  <si>
    <t>3. Байсовская регрессия</t>
  </si>
  <si>
    <t>Две переменные</t>
  </si>
  <si>
    <t>ВВП</t>
  </si>
  <si>
    <t>Гиперпараметры</t>
  </si>
  <si>
    <t>начало базы</t>
  </si>
  <si>
    <t>степень полинома</t>
  </si>
  <si>
    <t>полином</t>
  </si>
  <si>
    <t>Способ задания K фиктивных переменных</t>
  </si>
  <si>
    <t>равн.деление</t>
  </si>
  <si>
    <t>равн.наполнение</t>
  </si>
  <si>
    <t>визуально</t>
  </si>
  <si>
    <t>Способ K</t>
  </si>
  <si>
    <t>S2 - скорее хуже</t>
  </si>
  <si>
    <t>S4 - знач.лучше</t>
  </si>
  <si>
    <t>S3 - по тренду</t>
  </si>
  <si>
    <t>Названия строк</t>
  </si>
  <si>
    <t>Общий итог</t>
  </si>
  <si>
    <t>Среднее по полю ERR</t>
  </si>
  <si>
    <t xml:space="preserve">Модель </t>
  </si>
  <si>
    <t>Точность:</t>
  </si>
  <si>
    <t>R</t>
  </si>
  <si>
    <t>R^2</t>
  </si>
  <si>
    <t>R^2adj</t>
  </si>
  <si>
    <t>Сортировка</t>
  </si>
  <si>
    <t>Функция системы</t>
  </si>
  <si>
    <t>Таблица подстановки</t>
  </si>
  <si>
    <t>Анализ чувствительности</t>
  </si>
  <si>
    <t>S1 - эпический провал</t>
  </si>
  <si>
    <t>вероятность</t>
  </si>
  <si>
    <t>Горизонт прогноза (лаг)</t>
  </si>
  <si>
    <t>S1 - сильно хуже</t>
  </si>
  <si>
    <t>Петров Г.А.</t>
  </si>
  <si>
    <t>ССЧ</t>
  </si>
  <si>
    <t>сильно ниже</t>
  </si>
  <si>
    <t>ниже среднего</t>
  </si>
  <si>
    <t>скорее выше среднего</t>
  </si>
  <si>
    <t>сильно выше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</si>
</sst>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[Red]\-#,##0\ "/>
    <numFmt numFmtId="165" formatCode="#,##0.00_ ;\-#,##0.00\ "/>
    <numFmt numFmtId="166" formatCode="0.00000"/>
    <numFmt numFmtId="167" formatCode="0.000%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7030A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2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8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3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3" fontId="0" fillId="0" borderId="3" xfId="0" applyNumberFormat="1" applyFill="1" applyBorder="1"/>
    <xf numFmtId="3" fontId="0" fillId="0" borderId="1" xfId="0" applyNumberFormat="1" applyFill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4" borderId="1" xfId="0" applyFill="1" applyBorder="1"/>
    <xf numFmtId="164" fontId="0" fillId="0" borderId="1" xfId="0" applyNumberFormat="1" applyFill="1" applyBorder="1"/>
    <xf numFmtId="0" fontId="0" fillId="0" borderId="0" xfId="0" applyFill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4" fillId="2" borderId="0" xfId="1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vertical="center" textRotation="90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left" wrapText="1"/>
    </xf>
    <xf numFmtId="0" fontId="0" fillId="6" borderId="0" xfId="0" applyFill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3" fontId="0" fillId="6" borderId="1" xfId="0" applyNumberFormat="1" applyFill="1" applyBorder="1"/>
    <xf numFmtId="166" fontId="0" fillId="0" borderId="1" xfId="0" applyNumberFormat="1" applyBorder="1"/>
    <xf numFmtId="166" fontId="0" fillId="6" borderId="1" xfId="0" applyNumberFormat="1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7" borderId="0" xfId="0" applyFill="1"/>
    <xf numFmtId="167" fontId="0" fillId="0" borderId="0" xfId="2" applyNumberFormat="1" applyFont="1" applyBorder="1"/>
    <xf numFmtId="167" fontId="0" fillId="0" borderId="11" xfId="2" applyNumberFormat="1" applyFont="1" applyBorder="1"/>
    <xf numFmtId="167" fontId="0" fillId="0" borderId="12" xfId="2" applyNumberFormat="1" applyFont="1" applyBorder="1"/>
    <xf numFmtId="167" fontId="0" fillId="0" borderId="6" xfId="2" applyNumberFormat="1" applyFont="1" applyBorder="1"/>
    <xf numFmtId="10" fontId="0" fillId="0" borderId="1" xfId="2" applyNumberFormat="1" applyFont="1" applyFill="1" applyBorder="1"/>
    <xf numFmtId="10" fontId="0" fillId="0" borderId="0" xfId="0" applyNumberFormat="1"/>
    <xf numFmtId="0" fontId="0" fillId="6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167" fontId="0" fillId="0" borderId="7" xfId="2" applyNumberFormat="1" applyFont="1" applyBorder="1"/>
    <xf numFmtId="167" fontId="0" fillId="0" borderId="13" xfId="2" applyNumberFormat="1" applyFont="1" applyBorder="1"/>
    <xf numFmtId="167" fontId="0" fillId="0" borderId="8" xfId="2" applyNumberFormat="1" applyFont="1" applyBorder="1"/>
    <xf numFmtId="167" fontId="0" fillId="0" borderId="9" xfId="2" applyNumberFormat="1" applyFont="1" applyBorder="1"/>
    <xf numFmtId="0" fontId="0" fillId="2" borderId="0" xfId="0" applyFill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1"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Fiction!$D$15:$D$16</c:f>
              <c:strCache>
                <c:ptCount val="2"/>
                <c:pt idx="0">
                  <c:v>Y</c:v>
                </c:pt>
                <c:pt idx="1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1"/>
            <c:dispEq val="1"/>
            <c:trendlineLbl>
              <c:layout>
                <c:manualLayout>
                  <c:x val="-0.30981128568348421"/>
                  <c:y val="3.0605012073802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Fiction!$D$17:$D$40</c:f>
              <c:numCache>
                <c:formatCode>#,##0</c:formatCode>
                <c:ptCount val="2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2-436B-9616-2C05139367A6}"/>
            </c:ext>
          </c:extLst>
        </c:ser>
        <c:ser>
          <c:idx val="1"/>
          <c:order val="1"/>
          <c:tx>
            <c:strRef>
              <c:f>Fiction!$F$15:$F$16</c:f>
              <c:strCache>
                <c:ptCount val="2"/>
                <c:pt idx="0">
                  <c:v>Y^</c:v>
                </c:pt>
                <c:pt idx="1">
                  <c:v>полином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Fiction!$F$17:$F$40</c:f>
              <c:numCache>
                <c:formatCode>#,##0</c:formatCode>
                <c:ptCount val="24"/>
                <c:pt idx="0">
                  <c:v>1702609.1551340846</c:v>
                </c:pt>
                <c:pt idx="1">
                  <c:v>1539573.260917929</c:v>
                </c:pt>
                <c:pt idx="2">
                  <c:v>2178330.4160871259</c:v>
                </c:pt>
                <c:pt idx="3">
                  <c:v>2987476.7621286442</c:v>
                </c:pt>
                <c:pt idx="4">
                  <c:v>3725547.8204907118</c:v>
                </c:pt>
                <c:pt idx="5">
                  <c:v>4372031.332004129</c:v>
                </c:pt>
                <c:pt idx="6">
                  <c:v>5004160.8143776907</c:v>
                </c:pt>
                <c:pt idx="7">
                  <c:v>5713624.2223779298</c:v>
                </c:pt>
                <c:pt idx="8">
                  <c:v>6557322.0953047788</c:v>
                </c:pt>
                <c:pt idx="9">
                  <c:v>7536309.5763725564</c:v>
                </c:pt>
                <c:pt idx="10">
                  <c:v>8597056.6886079423</c:v>
                </c:pt>
                <c:pt idx="11">
                  <c:v>9649161.2518751323</c:v>
                </c:pt>
                <c:pt idx="12">
                  <c:v>10593648.82563898</c:v>
                </c:pt>
                <c:pt idx="13">
                  <c:v>11355994.062075734</c:v>
                </c:pt>
                <c:pt idx="14">
                  <c:v>11917997.85414508</c:v>
                </c:pt>
                <c:pt idx="15">
                  <c:v>12342654.66323024</c:v>
                </c:pt>
                <c:pt idx="16">
                  <c:v>12786144.410957932</c:v>
                </c:pt>
                <c:pt idx="17">
                  <c:v>13491083.319812059</c:v>
                </c:pt>
                <c:pt idx="18">
                  <c:v>14755168.087145805</c:v>
                </c:pt>
                <c:pt idx="19">
                  <c:v>16869347.777212977</c:v>
                </c:pt>
                <c:pt idx="20">
                  <c:v>20019657.815808415</c:v>
                </c:pt>
                <c:pt idx="21">
                  <c:v>24146850.472157836</c:v>
                </c:pt>
                <c:pt idx="22">
                  <c:v>28757956.212646842</c:v>
                </c:pt>
                <c:pt idx="23">
                  <c:v>32683910.310999751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F2-436B-9616-2C051393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476064"/>
        <c:axId val="871477312"/>
      </c:lineChart>
      <c:catAx>
        <c:axId val="87147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77312"/>
        <c:crosses val="autoZero"/>
        <c:auto val="1"/>
        <c:lblAlgn val="ctr"/>
        <c:lblOffset val="100"/>
        <c:noMultiLvlLbl val="0"/>
      </c:catAx>
      <c:valAx>
        <c:axId val="8714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Fiction!$G$16</c:f>
              <c:strCache>
                <c:ptCount val="1"/>
                <c:pt idx="0">
                  <c:v>ERR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Fiction!$G$17:$G$40</c:f>
              <c:numCache>
                <c:formatCode>#\ ##0_ ;[Red]\-#\ ##0\ </c:formatCode>
                <c:ptCount val="24"/>
                <c:pt idx="0">
                  <c:v>-178939.02386573423</c:v>
                </c:pt>
                <c:pt idx="1">
                  <c:v>360141.02130305953</c:v>
                </c:pt>
                <c:pt idx="2">
                  <c:v>93646.38735034503</c:v>
                </c:pt>
                <c:pt idx="3">
                  <c:v>-242277.13219018467</c:v>
                </c:pt>
                <c:pt idx="4">
                  <c:v>-249472.27595710242</c:v>
                </c:pt>
                <c:pt idx="5">
                  <c:v>-188442.2846417455</c:v>
                </c:pt>
                <c:pt idx="6">
                  <c:v>376291.60956026986</c:v>
                </c:pt>
                <c:pt idx="7">
                  <c:v>144028.01415790059</c:v>
                </c:pt>
                <c:pt idx="8">
                  <c:v>-46302.512204018421</c:v>
                </c:pt>
                <c:pt idx="9">
                  <c:v>-88066.126923337579</c:v>
                </c:pt>
                <c:pt idx="10">
                  <c:v>318898.64518526755</c:v>
                </c:pt>
                <c:pt idx="11">
                  <c:v>368300.59008103795</c:v>
                </c:pt>
                <c:pt idx="12">
                  <c:v>-668440.72563898005</c:v>
                </c:pt>
                <c:pt idx="13">
                  <c:v>-649411.96207573451</c:v>
                </c:pt>
                <c:pt idx="14">
                  <c:v>-65116.154145078734</c:v>
                </c:pt>
                <c:pt idx="15">
                  <c:v>423348.1367697604</c:v>
                </c:pt>
                <c:pt idx="16">
                  <c:v>729649.58904206753</c:v>
                </c:pt>
                <c:pt idx="17">
                  <c:v>124188.58018794097</c:v>
                </c:pt>
                <c:pt idx="18">
                  <c:v>-210842.3871458061</c:v>
                </c:pt>
                <c:pt idx="19">
                  <c:v>-462857.3772129789</c:v>
                </c:pt>
                <c:pt idx="20">
                  <c:v>-281035.21580841392</c:v>
                </c:pt>
                <c:pt idx="21">
                  <c:v>193582.72784216702</c:v>
                </c:pt>
                <c:pt idx="22">
                  <c:v>419297.287353158</c:v>
                </c:pt>
                <c:pt idx="23">
                  <c:v>-220169.41099975258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1-4301-96EC-F27F84867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47296"/>
        <c:axId val="866336064"/>
      </c:lineChart>
      <c:catAx>
        <c:axId val="86634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36064"/>
        <c:crosses val="autoZero"/>
        <c:auto val="1"/>
        <c:lblAlgn val="ctr"/>
        <c:lblOffset val="100"/>
        <c:noMultiLvlLbl val="0"/>
      </c:catAx>
      <c:valAx>
        <c:axId val="8663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Fiction!$E$16</c:f>
          <c:strCache>
            <c:ptCount val="1"/>
            <c:pt idx="0">
              <c:v>Модель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Fiction!$D$15:$D$16</c:f>
              <c:strCache>
                <c:ptCount val="2"/>
                <c:pt idx="0">
                  <c:v>Y</c:v>
                </c:pt>
                <c:pt idx="1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Fiction!$D$17:$D$40</c:f>
              <c:numCache>
                <c:formatCode>#,##0</c:formatCode>
                <c:ptCount val="2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F-4A81-BB61-EA01712369B3}"/>
            </c:ext>
          </c:extLst>
        </c:ser>
        <c:ser>
          <c:idx val="1"/>
          <c:order val="1"/>
          <c:tx>
            <c:strRef>
              <c:f>Fiction!$E$15:$E$16</c:f>
              <c:strCache>
                <c:ptCount val="2"/>
                <c:pt idx="0">
                  <c:v>Y^^ = Y^ + K</c:v>
                </c:pt>
                <c:pt idx="1">
                  <c:v>Модель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Fiction!$E$17:$E$40</c:f>
              <c:numCache>
                <c:formatCode>#,##0</c:formatCode>
                <c:ptCount val="24"/>
                <c:pt idx="0">
                  <c:v>1525542.9027459673</c:v>
                </c:pt>
                <c:pt idx="1">
                  <c:v>1786957.9578764276</c:v>
                </c:pt>
                <c:pt idx="2">
                  <c:v>2425715.1130456245</c:v>
                </c:pt>
                <c:pt idx="3">
                  <c:v>2810410.5097405268</c:v>
                </c:pt>
                <c:pt idx="4">
                  <c:v>3548481.5681025945</c:v>
                </c:pt>
                <c:pt idx="5">
                  <c:v>4194965.0796160111</c:v>
                </c:pt>
                <c:pt idx="6">
                  <c:v>5251545.5113361888</c:v>
                </c:pt>
                <c:pt idx="7">
                  <c:v>5961008.9193364289</c:v>
                </c:pt>
                <c:pt idx="8">
                  <c:v>6380255.8429166609</c:v>
                </c:pt>
                <c:pt idx="9">
                  <c:v>7359243.3239844386</c:v>
                </c:pt>
                <c:pt idx="10">
                  <c:v>8844441.3855664413</c:v>
                </c:pt>
                <c:pt idx="11">
                  <c:v>9896545.9488336314</c:v>
                </c:pt>
                <c:pt idx="12">
                  <c:v>10000078.803996416</c:v>
                </c:pt>
                <c:pt idx="13">
                  <c:v>10762424.04043317</c:v>
                </c:pt>
                <c:pt idx="14">
                  <c:v>11740931.601756962</c:v>
                </c:pt>
                <c:pt idx="15">
                  <c:v>12866753.000951903</c:v>
                </c:pt>
                <c:pt idx="16">
                  <c:v>13310242.748679595</c:v>
                </c:pt>
                <c:pt idx="17">
                  <c:v>13738468.016770558</c:v>
                </c:pt>
                <c:pt idx="18">
                  <c:v>14578101.834757688</c:v>
                </c:pt>
                <c:pt idx="19">
                  <c:v>16275777.755570414</c:v>
                </c:pt>
                <c:pt idx="20">
                  <c:v>19842591.563420299</c:v>
                </c:pt>
                <c:pt idx="21">
                  <c:v>24394235.169116333</c:v>
                </c:pt>
                <c:pt idx="22">
                  <c:v>29282054.550368503</c:v>
                </c:pt>
                <c:pt idx="23">
                  <c:v>32506844.058611635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F-4A81-BB61-EA0171236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489584"/>
        <c:axId val="732490000"/>
      </c:lineChart>
      <c:catAx>
        <c:axId val="73248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2490000"/>
        <c:crosses val="autoZero"/>
        <c:auto val="1"/>
        <c:lblAlgn val="ctr"/>
        <c:lblOffset val="100"/>
        <c:noMultiLvlLbl val="0"/>
      </c:catAx>
      <c:valAx>
        <c:axId val="7324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24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Fiction!$P$15:$P$16</c:f>
              <c:strCache>
                <c:ptCount val="2"/>
                <c:pt idx="0">
                  <c:v>Сортировка</c:v>
                </c:pt>
                <c:pt idx="1">
                  <c:v>ERR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Fiction!$P$17:$P$40</c:f>
              <c:numCache>
                <c:formatCode>#\ ##0_ ;[Red]\-#\ ##0\ </c:formatCode>
                <c:ptCount val="24"/>
                <c:pt idx="0">
                  <c:v>-668440.72563898005</c:v>
                </c:pt>
                <c:pt idx="1">
                  <c:v>-649411.96207573451</c:v>
                </c:pt>
                <c:pt idx="2">
                  <c:v>-462857.3772129789</c:v>
                </c:pt>
                <c:pt idx="3">
                  <c:v>-281035.21580841392</c:v>
                </c:pt>
                <c:pt idx="4">
                  <c:v>-249472.27595710242</c:v>
                </c:pt>
                <c:pt idx="5">
                  <c:v>-242277.13219018467</c:v>
                </c:pt>
                <c:pt idx="6">
                  <c:v>-220169.41099975258</c:v>
                </c:pt>
                <c:pt idx="7">
                  <c:v>-210842.3871458061</c:v>
                </c:pt>
                <c:pt idx="8">
                  <c:v>-188442.2846417455</c:v>
                </c:pt>
                <c:pt idx="9">
                  <c:v>-178939.02386573423</c:v>
                </c:pt>
                <c:pt idx="10">
                  <c:v>-88066.126923337579</c:v>
                </c:pt>
                <c:pt idx="11">
                  <c:v>-65116.154145078734</c:v>
                </c:pt>
                <c:pt idx="12">
                  <c:v>-46302.512204018421</c:v>
                </c:pt>
                <c:pt idx="13">
                  <c:v>93646.38735034503</c:v>
                </c:pt>
                <c:pt idx="14">
                  <c:v>124188.58018794097</c:v>
                </c:pt>
                <c:pt idx="15">
                  <c:v>144028.01415790059</c:v>
                </c:pt>
                <c:pt idx="16">
                  <c:v>193582.72784216702</c:v>
                </c:pt>
                <c:pt idx="17">
                  <c:v>318898.64518526755</c:v>
                </c:pt>
                <c:pt idx="18">
                  <c:v>360141.02130305953</c:v>
                </c:pt>
                <c:pt idx="19">
                  <c:v>368300.59008103795</c:v>
                </c:pt>
                <c:pt idx="20">
                  <c:v>376291.60956026986</c:v>
                </c:pt>
                <c:pt idx="21">
                  <c:v>419297.287353158</c:v>
                </c:pt>
                <c:pt idx="22">
                  <c:v>423348.1367697604</c:v>
                </c:pt>
                <c:pt idx="23">
                  <c:v>729649.58904206753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0-4D6F-BE84-6444CE94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41056"/>
        <c:axId val="866335232"/>
      </c:lineChart>
      <c:catAx>
        <c:axId val="86634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35232"/>
        <c:crosses val="autoZero"/>
        <c:auto val="1"/>
        <c:lblAlgn val="ctr"/>
        <c:lblOffset val="100"/>
        <c:noMultiLvlLbl val="0"/>
      </c:catAx>
      <c:valAx>
        <c:axId val="8663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4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Прогноз!$D$15:$D$16</c:f>
              <c:strCache>
                <c:ptCount val="2"/>
                <c:pt idx="0">
                  <c:v>Y</c:v>
                </c:pt>
                <c:pt idx="1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1"/>
            <c:dispEq val="1"/>
            <c:trendlineLbl>
              <c:layout>
                <c:manualLayout>
                  <c:x val="-0.30981128568348421"/>
                  <c:y val="3.0605012073802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Прогноз!$D$17:$D$40</c:f>
              <c:numCache>
                <c:formatCode>#,##0</c:formatCode>
                <c:ptCount val="2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0-49DC-A8C3-62F20AFFD684}"/>
            </c:ext>
          </c:extLst>
        </c:ser>
        <c:ser>
          <c:idx val="1"/>
          <c:order val="1"/>
          <c:tx>
            <c:strRef>
              <c:f>Прогноз!$F$15:$F$16</c:f>
              <c:strCache>
                <c:ptCount val="2"/>
                <c:pt idx="0">
                  <c:v>Y^</c:v>
                </c:pt>
                <c:pt idx="1">
                  <c:v>полином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Прогноз!$F$17:$F$40</c:f>
              <c:numCache>
                <c:formatCode>#,##0</c:formatCode>
                <c:ptCount val="24"/>
                <c:pt idx="0">
                  <c:v>2935021.6516376813</c:v>
                </c:pt>
                <c:pt idx="1">
                  <c:v>2877334.7964821118</c:v>
                </c:pt>
                <c:pt idx="2">
                  <c:v>2925756.9678043914</c:v>
                </c:pt>
                <c:pt idx="3">
                  <c:v>3080288.1656045206</c:v>
                </c:pt>
                <c:pt idx="4">
                  <c:v>3340928.3898824994</c:v>
                </c:pt>
                <c:pt idx="5">
                  <c:v>3707677.6406383277</c:v>
                </c:pt>
                <c:pt idx="6">
                  <c:v>4180535.9178720051</c:v>
                </c:pt>
                <c:pt idx="7">
                  <c:v>4759503.2215835322</c:v>
                </c:pt>
                <c:pt idx="8">
                  <c:v>5444579.5517729092</c:v>
                </c:pt>
                <c:pt idx="9">
                  <c:v>6235764.9084401345</c:v>
                </c:pt>
                <c:pt idx="10">
                  <c:v>7133059.2915852098</c:v>
                </c:pt>
                <c:pt idx="11">
                  <c:v>8136462.7012081351</c:v>
                </c:pt>
                <c:pt idx="12">
                  <c:v>9245975.1373089086</c:v>
                </c:pt>
                <c:pt idx="13">
                  <c:v>10461596.599887531</c:v>
                </c:pt>
                <c:pt idx="14">
                  <c:v>11783327.088944005</c:v>
                </c:pt>
                <c:pt idx="15">
                  <c:v>13211166.604478328</c:v>
                </c:pt>
                <c:pt idx="16">
                  <c:v>14745115.146490499</c:v>
                </c:pt>
                <c:pt idx="17">
                  <c:v>16385172.71498052</c:v>
                </c:pt>
                <c:pt idx="18">
                  <c:v>18131339.309948392</c:v>
                </c:pt>
                <c:pt idx="19">
                  <c:v>19983614.931394111</c:v>
                </c:pt>
                <c:pt idx="20">
                  <c:v>21941999.579317681</c:v>
                </c:pt>
                <c:pt idx="21">
                  <c:v>24006493.253719103</c:v>
                </c:pt>
                <c:pt idx="22">
                  <c:v>26177095.954598367</c:v>
                </c:pt>
                <c:pt idx="23">
                  <c:v>28453807.681955487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0-49DC-A8C3-62F20AFF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476064"/>
        <c:axId val="871477312"/>
      </c:lineChart>
      <c:catAx>
        <c:axId val="87147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77312"/>
        <c:crosses val="autoZero"/>
        <c:auto val="1"/>
        <c:lblAlgn val="ctr"/>
        <c:lblOffset val="100"/>
        <c:noMultiLvlLbl val="0"/>
      </c:catAx>
      <c:valAx>
        <c:axId val="8714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Прогноз!$G$16</c:f>
              <c:strCache>
                <c:ptCount val="1"/>
                <c:pt idx="0">
                  <c:v>ERR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Прогноз!$G$17:$G$40</c:f>
              <c:numCache>
                <c:formatCode>#\ ##0_ ;[Red]\-#\ ##0\ </c:formatCode>
                <c:ptCount val="24"/>
                <c:pt idx="0">
                  <c:v>-1411351.5203693309</c:v>
                </c:pt>
                <c:pt idx="1">
                  <c:v>-977620.51426112326</c:v>
                </c:pt>
                <c:pt idx="2">
                  <c:v>-653780.16436692048</c:v>
                </c:pt>
                <c:pt idx="3">
                  <c:v>-335088.5356660611</c:v>
                </c:pt>
                <c:pt idx="4">
                  <c:v>135147.15465111006</c:v>
                </c:pt>
                <c:pt idx="5">
                  <c:v>475911.40672405576</c:v>
                </c:pt>
                <c:pt idx="6">
                  <c:v>1199916.5060659554</c:v>
                </c:pt>
                <c:pt idx="7">
                  <c:v>1098149.0149522983</c:v>
                </c:pt>
                <c:pt idx="8">
                  <c:v>1066440.0313278511</c:v>
                </c:pt>
                <c:pt idx="9">
                  <c:v>1212478.5410090843</c:v>
                </c:pt>
                <c:pt idx="10">
                  <c:v>1782896.0422080001</c:v>
                </c:pt>
                <c:pt idx="11">
                  <c:v>1880999.1407480352</c:v>
                </c:pt>
                <c:pt idx="12">
                  <c:v>679232.962691091</c:v>
                </c:pt>
                <c:pt idx="13">
                  <c:v>244985.50011246838</c:v>
                </c:pt>
                <c:pt idx="14">
                  <c:v>69554.611055996269</c:v>
                </c:pt>
                <c:pt idx="15">
                  <c:v>-445163.80447832681</c:v>
                </c:pt>
                <c:pt idx="16">
                  <c:v>-1229321.1464904994</c:v>
                </c:pt>
                <c:pt idx="17">
                  <c:v>-2769900.8149805199</c:v>
                </c:pt>
                <c:pt idx="18">
                  <c:v>-3587013.609948393</c:v>
                </c:pt>
                <c:pt idx="19">
                  <c:v>-3577124.5313941129</c:v>
                </c:pt>
                <c:pt idx="20">
                  <c:v>-2203376.97931768</c:v>
                </c:pt>
                <c:pt idx="21">
                  <c:v>333939.94628090039</c:v>
                </c:pt>
                <c:pt idx="22">
                  <c:v>3000157.5454016328</c:v>
                </c:pt>
                <c:pt idx="23">
                  <c:v>4009933.218044512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7-4DAE-9E84-896ABE594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47296"/>
        <c:axId val="866336064"/>
      </c:lineChart>
      <c:catAx>
        <c:axId val="86634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36064"/>
        <c:crosses val="autoZero"/>
        <c:auto val="1"/>
        <c:lblAlgn val="ctr"/>
        <c:lblOffset val="100"/>
        <c:noMultiLvlLbl val="0"/>
      </c:catAx>
      <c:valAx>
        <c:axId val="8663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3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Прогноз!$E$16</c:f>
          <c:strCache>
            <c:ptCount val="1"/>
            <c:pt idx="0">
              <c:v>Модель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Прогноз!$D$15:$D$16</c:f>
              <c:strCache>
                <c:ptCount val="2"/>
                <c:pt idx="0">
                  <c:v>Y</c:v>
                </c:pt>
                <c:pt idx="1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Прогноз!$D$17:$D$50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1-4730-B43E-4C3D78F0C1BB}"/>
            </c:ext>
          </c:extLst>
        </c:ser>
        <c:ser>
          <c:idx val="1"/>
          <c:order val="1"/>
          <c:tx>
            <c:strRef>
              <c:f>Прогноз!$E$15:$E$16</c:f>
              <c:strCache>
                <c:ptCount val="2"/>
                <c:pt idx="0">
                  <c:v>Y^^ = Y^ + K</c:v>
                </c:pt>
                <c:pt idx="1">
                  <c:v>Модель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Прогноз!$E$17:$E$50</c:f>
              <c:numCache>
                <c:formatCode>#,##0</c:formatCode>
                <c:ptCount val="34"/>
                <c:pt idx="0">
                  <c:v>2935021.6516376813</c:v>
                </c:pt>
                <c:pt idx="1">
                  <c:v>2877334.7964821118</c:v>
                </c:pt>
                <c:pt idx="2">
                  <c:v>2925756.9678043914</c:v>
                </c:pt>
                <c:pt idx="3">
                  <c:v>3080288.1656045206</c:v>
                </c:pt>
                <c:pt idx="4">
                  <c:v>3340928.3898824994</c:v>
                </c:pt>
                <c:pt idx="5">
                  <c:v>3707677.6406383277</c:v>
                </c:pt>
                <c:pt idx="6">
                  <c:v>4180535.9178720051</c:v>
                </c:pt>
                <c:pt idx="7">
                  <c:v>4759503.2215835322</c:v>
                </c:pt>
                <c:pt idx="8">
                  <c:v>6511019.5831007604</c:v>
                </c:pt>
                <c:pt idx="9">
                  <c:v>8330047.8167905267</c:v>
                </c:pt>
                <c:pt idx="10">
                  <c:v>9227342.199935602</c:v>
                </c:pt>
                <c:pt idx="11">
                  <c:v>10230745.609558528</c:v>
                </c:pt>
                <c:pt idx="12">
                  <c:v>11340258.045659302</c:v>
                </c:pt>
                <c:pt idx="13">
                  <c:v>9801809.3031089045</c:v>
                </c:pt>
                <c:pt idx="14">
                  <c:v>9317206.0026272479</c:v>
                </c:pt>
                <c:pt idx="15">
                  <c:v>12551379.307699701</c:v>
                </c:pt>
                <c:pt idx="16">
                  <c:v>14085327.849711873</c:v>
                </c:pt>
                <c:pt idx="17">
                  <c:v>13919051.628663763</c:v>
                </c:pt>
                <c:pt idx="18">
                  <c:v>15665218.223631635</c:v>
                </c:pt>
                <c:pt idx="19">
                  <c:v>17517493.845077354</c:v>
                </c:pt>
                <c:pt idx="20">
                  <c:v>21282212.282539055</c:v>
                </c:pt>
                <c:pt idx="21">
                  <c:v>23346705.956940476</c:v>
                </c:pt>
                <c:pt idx="22">
                  <c:v>28271378.86294876</c:v>
                </c:pt>
                <c:pt idx="23">
                  <c:v>30548090.59030588</c:v>
                </c:pt>
                <c:pt idx="24">
                  <c:v>31903068.467118304</c:v>
                </c:pt>
                <c:pt idx="25">
                  <c:v>34391998.247431122</c:v>
                </c:pt>
                <c:pt idx="26">
                  <c:v>36987037.054221787</c:v>
                </c:pt>
                <c:pt idx="27">
                  <c:v>39688184.88749031</c:v>
                </c:pt>
                <c:pt idx="28">
                  <c:v>42495441.747236662</c:v>
                </c:pt>
                <c:pt idx="29">
                  <c:v>43682580.305354409</c:v>
                </c:pt>
                <c:pt idx="30">
                  <c:v>44895721.428518333</c:v>
                </c:pt>
                <c:pt idx="31">
                  <c:v>48021305.36769826</c:v>
                </c:pt>
                <c:pt idx="32">
                  <c:v>53719119.419672772</c:v>
                </c:pt>
                <c:pt idx="33">
                  <c:v>57056921.411808386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1-4730-B43E-4C3D78F0C1BB}"/>
            </c:ext>
          </c:extLst>
        </c:ser>
        <c:ser>
          <c:idx val="2"/>
          <c:order val="2"/>
          <c:tx>
            <c:strRef>
              <c:f>Прогноз!$F$15:$F$16</c:f>
              <c:strCache>
                <c:ptCount val="2"/>
                <c:pt idx="0">
                  <c:v>Y^</c:v>
                </c:pt>
                <c:pt idx="1">
                  <c:v>полином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Прогноз!$F$17:$F$50</c:f>
              <c:numCache>
                <c:formatCode>#,##0</c:formatCode>
                <c:ptCount val="34"/>
                <c:pt idx="0">
                  <c:v>2935021.6516376813</c:v>
                </c:pt>
                <c:pt idx="1">
                  <c:v>2877334.7964821118</c:v>
                </c:pt>
                <c:pt idx="2">
                  <c:v>2925756.9678043914</c:v>
                </c:pt>
                <c:pt idx="3">
                  <c:v>3080288.1656045206</c:v>
                </c:pt>
                <c:pt idx="4">
                  <c:v>3340928.3898824994</c:v>
                </c:pt>
                <c:pt idx="5">
                  <c:v>3707677.6406383277</c:v>
                </c:pt>
                <c:pt idx="6">
                  <c:v>4180535.9178720051</c:v>
                </c:pt>
                <c:pt idx="7">
                  <c:v>4759503.2215835322</c:v>
                </c:pt>
                <c:pt idx="8">
                  <c:v>5444579.5517729092</c:v>
                </c:pt>
                <c:pt idx="9">
                  <c:v>6235764.9084401345</c:v>
                </c:pt>
                <c:pt idx="10">
                  <c:v>7133059.2915852098</c:v>
                </c:pt>
                <c:pt idx="11">
                  <c:v>8136462.7012081351</c:v>
                </c:pt>
                <c:pt idx="12">
                  <c:v>9245975.1373089086</c:v>
                </c:pt>
                <c:pt idx="13">
                  <c:v>10461596.599887531</c:v>
                </c:pt>
                <c:pt idx="14">
                  <c:v>11783327.088944005</c:v>
                </c:pt>
                <c:pt idx="15">
                  <c:v>13211166.604478328</c:v>
                </c:pt>
                <c:pt idx="16">
                  <c:v>14745115.146490499</c:v>
                </c:pt>
                <c:pt idx="17">
                  <c:v>16385172.71498052</c:v>
                </c:pt>
                <c:pt idx="18">
                  <c:v>18131339.309948392</c:v>
                </c:pt>
                <c:pt idx="19">
                  <c:v>19983614.931394111</c:v>
                </c:pt>
                <c:pt idx="20">
                  <c:v>21941999.579317681</c:v>
                </c:pt>
                <c:pt idx="21">
                  <c:v>24006493.253719103</c:v>
                </c:pt>
                <c:pt idx="22">
                  <c:v>26177095.954598367</c:v>
                </c:pt>
                <c:pt idx="23">
                  <c:v>28453807.681955487</c:v>
                </c:pt>
                <c:pt idx="24">
                  <c:v>30836628.435790453</c:v>
                </c:pt>
                <c:pt idx="25">
                  <c:v>33325558.216103271</c:v>
                </c:pt>
                <c:pt idx="26">
                  <c:v>35920597.022893935</c:v>
                </c:pt>
                <c:pt idx="27">
                  <c:v>38621744.856162459</c:v>
                </c:pt>
                <c:pt idx="28">
                  <c:v>41429001.71590881</c:v>
                </c:pt>
                <c:pt idx="29">
                  <c:v>44342367.602133036</c:v>
                </c:pt>
                <c:pt idx="30">
                  <c:v>47361842.514835089</c:v>
                </c:pt>
                <c:pt idx="31">
                  <c:v>50487426.454015017</c:v>
                </c:pt>
                <c:pt idx="32">
                  <c:v>53719119.419672772</c:v>
                </c:pt>
                <c:pt idx="33">
                  <c:v>57056921.411808386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E1-4730-B43E-4C3D78F0C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489584"/>
        <c:axId val="732490000"/>
      </c:lineChart>
      <c:catAx>
        <c:axId val="73248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2490000"/>
        <c:crosses val="autoZero"/>
        <c:auto val="1"/>
        <c:lblAlgn val="ctr"/>
        <c:lblOffset val="100"/>
        <c:noMultiLvlLbl val="0"/>
      </c:catAx>
      <c:valAx>
        <c:axId val="7324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24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Прогноз!$E$16</c:f>
              <c:strCache>
                <c:ptCount val="1"/>
                <c:pt idx="0">
                  <c:v>Модель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Прогноз!$E$40:$E$50</c:f>
              <c:numCache>
                <c:formatCode>#,##0</c:formatCode>
                <c:ptCount val="11"/>
                <c:pt idx="0">
                  <c:v>30548090.59030588</c:v>
                </c:pt>
                <c:pt idx="1">
                  <c:v>31903068.467118304</c:v>
                </c:pt>
                <c:pt idx="2">
                  <c:v>34391998.247431122</c:v>
                </c:pt>
                <c:pt idx="3">
                  <c:v>36987037.054221787</c:v>
                </c:pt>
                <c:pt idx="4">
                  <c:v>39688184.88749031</c:v>
                </c:pt>
                <c:pt idx="5">
                  <c:v>42495441.747236662</c:v>
                </c:pt>
                <c:pt idx="6">
                  <c:v>43682580.305354409</c:v>
                </c:pt>
                <c:pt idx="7">
                  <c:v>44895721.428518333</c:v>
                </c:pt>
                <c:pt idx="8">
                  <c:v>48021305.36769826</c:v>
                </c:pt>
                <c:pt idx="9">
                  <c:v>53719119.419672772</c:v>
                </c:pt>
                <c:pt idx="10">
                  <c:v>57056921.411808386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9-49B1-B494-7244E99987A8}"/>
            </c:ext>
          </c:extLst>
        </c:ser>
        <c:ser>
          <c:idx val="1"/>
          <c:order val="1"/>
          <c:tx>
            <c:strRef>
              <c:f>Прогноз!$F$16</c:f>
              <c:strCache>
                <c:ptCount val="1"/>
                <c:pt idx="0">
                  <c:v>полином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Прогноз!$F$40:$F$50</c:f>
              <c:numCache>
                <c:formatCode>#,##0</c:formatCode>
                <c:ptCount val="11"/>
                <c:pt idx="0">
                  <c:v>28453807.681955487</c:v>
                </c:pt>
                <c:pt idx="1">
                  <c:v>30836628.435790453</c:v>
                </c:pt>
                <c:pt idx="2">
                  <c:v>33325558.216103271</c:v>
                </c:pt>
                <c:pt idx="3">
                  <c:v>35920597.022893935</c:v>
                </c:pt>
                <c:pt idx="4">
                  <c:v>38621744.856162459</c:v>
                </c:pt>
                <c:pt idx="5">
                  <c:v>41429001.71590881</c:v>
                </c:pt>
                <c:pt idx="6">
                  <c:v>44342367.602133036</c:v>
                </c:pt>
                <c:pt idx="7">
                  <c:v>47361842.514835089</c:v>
                </c:pt>
                <c:pt idx="8">
                  <c:v>50487426.454015017</c:v>
                </c:pt>
                <c:pt idx="9">
                  <c:v>53719119.419672772</c:v>
                </c:pt>
                <c:pt idx="10">
                  <c:v>57056921.411808386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9-49B1-B494-7244E9998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604464"/>
        <c:axId val="869601968"/>
      </c:lineChart>
      <c:catAx>
        <c:axId val="869604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9601968"/>
        <c:crosses val="autoZero"/>
        <c:auto val="1"/>
        <c:lblAlgn val="ctr"/>
        <c:lblOffset val="100"/>
        <c:noMultiLvlLbl val="0"/>
      </c:catAx>
      <c:valAx>
        <c:axId val="8696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960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F$13" max="10" min="1" page="10" val="7"/>
</file>

<file path=xl/ctrlProps/ctrlProp2.xml><?xml version="1.0" encoding="utf-8"?>
<formControlPr xmlns="http://schemas.microsoft.com/office/spreadsheetml/2009/9/main" objectType="Spin" dx="22" fmlaLink="$G$13" max="3" min="1" page="10"/>
</file>

<file path=xl/ctrlProps/ctrlProp3.xml><?xml version="1.0" encoding="utf-8"?>
<formControlPr xmlns="http://schemas.microsoft.com/office/spreadsheetml/2009/9/main" objectType="Spin" dx="22" fmlaLink="$F$13" max="10" min="1" page="10" val="2"/>
</file>

<file path=xl/ctrlProps/ctrlProp4.xml><?xml version="1.0" encoding="utf-8"?>
<formControlPr xmlns="http://schemas.microsoft.com/office/spreadsheetml/2009/9/main" objectType="Spin" dx="22" fmlaLink="$G$13" max="3" min="1" page="10" val="2"/>
</file>

<file path=xl/ctrlProps/ctrlProp5.xml><?xml version="1.0" encoding="utf-8"?>
<formControlPr xmlns="http://schemas.microsoft.com/office/spreadsheetml/2009/9/main" objectType="Spin" dx="22" fmlaLink="$H$13" max="10" min="1" page="10" val="8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595085</xdr:colOff>
      <xdr:row>25</xdr:row>
      <xdr:rowOff>56318</xdr:rowOff>
    </xdr:from>
    <xdr:to>
      <xdr:col>24</xdr:col>
      <xdr:colOff>47625</xdr:colOff>
      <xdr:row>34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349185" y="5047418"/>
          <a:ext cx="6158140" cy="18010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Наибольший</a:t>
          </a:r>
          <a:r>
            <a:rPr lang="ru-RU" sz="1600" baseline="0"/>
            <a:t>  </a:t>
          </a:r>
          <a:r>
            <a:rPr lang="en-US" sz="1600" baseline="0"/>
            <a:t>R^2 = 99,9</a:t>
          </a:r>
          <a:r>
            <a:rPr lang="ru-RU" sz="1600" baseline="0"/>
            <a:t>85</a:t>
          </a:r>
          <a:r>
            <a:rPr lang="en-US" sz="1600" baseline="0"/>
            <a:t>% </a:t>
          </a:r>
          <a:r>
            <a:rPr lang="ru-RU" sz="1600" baseline="0"/>
            <a:t>дают способ К = 1, полином ст7.</a:t>
          </a:r>
        </a:p>
        <a:p>
          <a:r>
            <a:rPr lang="ru-RU" sz="1600" baseline="0"/>
            <a:t>Возможны 4 ситуации:</a:t>
          </a:r>
        </a:p>
        <a:p>
          <a:r>
            <a:rPr lang="en-US" sz="1600"/>
            <a:t>S1 - </a:t>
          </a:r>
          <a:r>
            <a:rPr lang="ru-RU" sz="1600"/>
            <a:t>эпический провал  (...%)  - на 1 млн ниже среднеожидаемого</a:t>
          </a:r>
        </a:p>
        <a:p>
          <a:r>
            <a:rPr lang="en-US" sz="1600"/>
            <a:t>S2 - </a:t>
          </a:r>
          <a:r>
            <a:rPr lang="ru-RU" sz="1600"/>
            <a:t>скорее хуже           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(...%) </a:t>
          </a:r>
          <a:r>
            <a:rPr lang="ru-RU" sz="1600"/>
            <a:t>- на 146 тым ниже</a:t>
          </a:r>
          <a:r>
            <a:rPr lang="ru-RU" sz="1600" baseline="0"/>
            <a:t> ---------------------------</a:t>
          </a:r>
          <a:endParaRPr lang="ru-RU" sz="1600"/>
        </a:p>
        <a:p>
          <a:r>
            <a:rPr lang="en-US" sz="1600"/>
            <a:t>S3 - </a:t>
          </a:r>
          <a:r>
            <a:rPr lang="ru-RU" sz="1600"/>
            <a:t>по тренду               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(...%) </a:t>
          </a:r>
          <a:r>
            <a:rPr lang="ru-RU" sz="1600"/>
            <a:t>- на 0,3 млн выше </a:t>
          </a:r>
        </a:p>
        <a:p>
          <a:r>
            <a:rPr lang="en-US" sz="1600"/>
            <a:t>S4 - </a:t>
          </a:r>
          <a:r>
            <a:rPr lang="ru-RU" sz="1600"/>
            <a:t>знач.лучше            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(...%) </a:t>
          </a:r>
          <a:r>
            <a:rPr lang="ru-RU" sz="1600"/>
            <a:t>- на </a:t>
          </a:r>
          <a:r>
            <a:rPr lang="ru-RU" sz="1600" baseline="0"/>
            <a:t> 1,2 млн выше </a:t>
          </a:r>
          <a:endParaRPr lang="ru-RU" sz="1600"/>
        </a:p>
      </xdr:txBody>
    </xdr:sp>
    <xdr:clientData/>
  </xdr:twoCellAnchor>
  <xdr:twoCellAnchor>
    <xdr:from>
      <xdr:col>24</xdr:col>
      <xdr:colOff>386901</xdr:colOff>
      <xdr:row>24</xdr:row>
      <xdr:rowOff>131974</xdr:rowOff>
    </xdr:from>
    <xdr:to>
      <xdr:col>32</xdr:col>
      <xdr:colOff>317950</xdr:colOff>
      <xdr:row>45</xdr:row>
      <xdr:rowOff>100536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695325</xdr:colOff>
          <xdr:row>11</xdr:row>
          <xdr:rowOff>257175</xdr:rowOff>
        </xdr:from>
        <xdr:to>
          <xdr:col>5</xdr:col>
          <xdr:colOff>800100</xdr:colOff>
          <xdr:row>13</xdr:row>
          <xdr:rowOff>123825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23</xdr:col>
      <xdr:colOff>32354</xdr:colOff>
      <xdr:row>0</xdr:row>
      <xdr:rowOff>153860</xdr:rowOff>
    </xdr:from>
    <xdr:to>
      <xdr:col>32</xdr:col>
      <xdr:colOff>5781</xdr:colOff>
      <xdr:row>20</xdr:row>
      <xdr:rowOff>96710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565987</xdr:colOff>
      <xdr:row>36</xdr:row>
      <xdr:rowOff>25978</xdr:rowOff>
    </xdr:from>
    <xdr:to>
      <xdr:col>20</xdr:col>
      <xdr:colOff>679741</xdr:colOff>
      <xdr:row>56</xdr:row>
      <xdr:rowOff>141378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762000</xdr:colOff>
          <xdr:row>11</xdr:row>
          <xdr:rowOff>247650</xdr:rowOff>
        </xdr:from>
        <xdr:to>
          <xdr:col>6</xdr:col>
          <xdr:colOff>895350</xdr:colOff>
          <xdr:row>13</xdr:row>
          <xdr:rowOff>123825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658146</xdr:colOff>
      <xdr:row>42</xdr:row>
      <xdr:rowOff>67635</xdr:rowOff>
    </xdr:from>
    <xdr:to>
      <xdr:col>15</xdr:col>
      <xdr:colOff>330373</xdr:colOff>
      <xdr:row>62</xdr:row>
      <xdr:rowOff>47905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1371988</xdr:colOff>
      <xdr:row>22</xdr:row>
      <xdr:rowOff>185141</xdr:rowOff>
    </xdr:from>
    <xdr:to>
      <xdr:col>20</xdr:col>
      <xdr:colOff>38490</xdr:colOff>
      <xdr:row>24</xdr:row>
      <xdr:rowOff>44336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83488" y="4600259"/>
          <a:ext cx="952502" cy="2401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0.14144</cdr:x>
      <cdr:y>0.90473</cdr:y>
    </cdr:from>
    <cdr:to>
      <cdr:x>0.99256</cdr:x>
      <cdr:y>0.91501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190127F5-4291-4F4D-AA63-A544071731AB}"/>
            </a:ext>
          </a:extLst>
        </cdr:cNvPr>
        <cdr:cNvCxnSpPr/>
      </cdr:nvCxnSpPr>
      <cdr:spPr>
        <a:xfrm xmlns:a="http://schemas.openxmlformats.org/drawingml/2006/main">
          <a:off x="775607" y="3592286"/>
          <a:ext cx="4667250" cy="4082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0.13896</cdr:x>
      <cdr:y>0.17295</cdr:y>
    </cdr:from>
    <cdr:to>
      <cdr:x>0.97022</cdr:x>
      <cdr:y>0.1798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81162631-B6B2-42D8-BADA-F7CCDD37F046}"/>
            </a:ext>
          </a:extLst>
        </cdr:cNvPr>
        <cdr:cNvCxnSpPr/>
      </cdr:nvCxnSpPr>
      <cdr:spPr>
        <a:xfrm xmlns:a="http://schemas.openxmlformats.org/drawingml/2006/main" flipV="1">
          <a:off x="767678" y="687814"/>
          <a:ext cx="4592361" cy="2725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0.13273</cdr:x>
      <cdr:y>0.58617</cdr:y>
    </cdr:from>
    <cdr:to>
      <cdr:x>0.97144</cdr:x>
      <cdr:y>0.59302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842DCC39-889B-4DAE-AFF7-670287BD17D2}"/>
            </a:ext>
          </a:extLst>
        </cdr:cNvPr>
        <cdr:cNvCxnSpPr/>
      </cdr:nvCxnSpPr>
      <cdr:spPr>
        <a:xfrm xmlns:a="http://schemas.openxmlformats.org/drawingml/2006/main" flipV="1">
          <a:off x="733255" y="2331178"/>
          <a:ext cx="4633486" cy="2725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0.14063</cdr:x>
      <cdr:y>0.34284</cdr:y>
    </cdr:from>
    <cdr:to>
      <cdr:x>0.95204</cdr:x>
      <cdr:y>0.34969</cdr:y>
    </cdr:to>
    <cdr:cxnSp macro="">
      <cdr:nvCxnSpPr>
        <cdr:cNvPr id="10" name="Прямая соединительная линия 9">
          <a:extLst xmlns:a="http://schemas.openxmlformats.org/drawingml/2006/main">
            <a:ext uri="{FF2B5EF4-FFF2-40B4-BE49-F238E27FC236}">
              <a16:creationId xmlns:a16="http://schemas.microsoft.com/office/drawing/2014/main" id="{E6E68510-A549-4D12-B604-B1C32B1B85E3}"/>
            </a:ext>
          </a:extLst>
        </cdr:cNvPr>
        <cdr:cNvCxnSpPr/>
      </cdr:nvCxnSpPr>
      <cdr:spPr>
        <a:xfrm xmlns:a="http://schemas.openxmlformats.org/drawingml/2006/main" flipV="1">
          <a:off x="776521" y="1361738"/>
          <a:ext cx="4480419" cy="272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0.14308</cdr:x>
      <cdr:y>0.72812</cdr:y>
    </cdr:from>
    <cdr:to>
      <cdr:x>0.96442</cdr:x>
      <cdr:y>0.72812</cdr:y>
    </cdr:to>
    <cdr:cxnSp macro="">
      <cdr:nvCxnSpPr>
        <cdr:cNvPr id="12" name="Прямая соединительная линия 11">
          <a:extLst xmlns:a="http://schemas.openxmlformats.org/drawingml/2006/main">
            <a:ext uri="{FF2B5EF4-FFF2-40B4-BE49-F238E27FC236}">
              <a16:creationId xmlns:a16="http://schemas.microsoft.com/office/drawing/2014/main" id="{6849202A-8410-41C9-9C66-3029FF6F10C0}"/>
            </a:ext>
          </a:extLst>
        </cdr:cNvPr>
        <cdr:cNvCxnSpPr/>
      </cdr:nvCxnSpPr>
      <cdr:spPr>
        <a:xfrm xmlns:a="http://schemas.openxmlformats.org/drawingml/2006/main">
          <a:off x="790478" y="2895726"/>
          <a:ext cx="453752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0.14724</cdr:x>
      <cdr:y>0.75066</cdr:y>
    </cdr:from>
    <cdr:to>
      <cdr:x>0.26058</cdr:x>
      <cdr:y>0.85711</cdr:y>
    </cdr:to>
    <cdr:sp macro="" textlink="">
      <cdr:nvSpPr>
        <cdr:cNvPr id="13" name="TextBox 12"/>
        <cdr:cNvSpPr txBox="1"/>
      </cdr:nvSpPr>
      <cdr:spPr>
        <a:xfrm xmlns:a="http://schemas.openxmlformats.org/drawingml/2006/main">
          <a:off x="806962" y="2978781"/>
          <a:ext cx="621196" cy="422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S1</a:t>
          </a:r>
        </a:p>
      </cdr:txBody>
    </cdr:sp>
  </cdr:relSizeAnchor>
  <cdr:relSizeAnchor xmlns:cdr="http://schemas.openxmlformats.org/drawingml/2006/chartDrawing">
    <cdr:from>
      <cdr:x>0.13168</cdr:x>
      <cdr:y>0.21944</cdr:y>
    </cdr:from>
    <cdr:to>
      <cdr:x>0.24502</cdr:x>
      <cdr:y>0.32589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721691" y="870779"/>
          <a:ext cx="621196" cy="422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S4</a:t>
          </a:r>
        </a:p>
      </cdr:txBody>
    </cdr:sp>
  </cdr:relSizeAnchor>
  <cdr:relSizeAnchor xmlns:cdr="http://schemas.openxmlformats.org/drawingml/2006/chartDrawing">
    <cdr:from>
      <cdr:x>0.13734</cdr:x>
      <cdr:y>0.89348</cdr:y>
    </cdr:from>
    <cdr:to>
      <cdr:x>0.15134</cdr:x>
      <cdr:y>0.92465</cdr:y>
    </cdr:to>
    <cdr:sp macro="" textlink="">
      <cdr:nvSpPr>
        <cdr:cNvPr id="15" name="Овал 14"/>
        <cdr:cNvSpPr/>
      </cdr:nvSpPr>
      <cdr:spPr>
        <a:xfrm xmlns:a="http://schemas.openxmlformats.org/drawingml/2006/main">
          <a:off x="758761" y="3553340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0.13733</cdr:x>
      <cdr:y>0.65649</cdr:y>
    </cdr:from>
    <cdr:to>
      <cdr:x>0.15133</cdr:x>
      <cdr:y>0.68767</cdr:y>
    </cdr:to>
    <cdr:sp macro="" textlink="">
      <cdr:nvSpPr>
        <cdr:cNvPr id="16" name="Овал 15"/>
        <cdr:cNvSpPr/>
      </cdr:nvSpPr>
      <cdr:spPr>
        <a:xfrm xmlns:a="http://schemas.openxmlformats.org/drawingml/2006/main">
          <a:off x="758678" y="2610845"/>
          <a:ext cx="77333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0.13443</cdr:x>
      <cdr:y>0.2312</cdr:y>
    </cdr:from>
    <cdr:to>
      <cdr:x>0.14843</cdr:x>
      <cdr:y>0.26237</cdr:y>
    </cdr:to>
    <cdr:sp macro="" textlink="">
      <cdr:nvSpPr>
        <cdr:cNvPr id="17" name="Овал 16"/>
        <cdr:cNvSpPr/>
      </cdr:nvSpPr>
      <cdr:spPr>
        <a:xfrm xmlns:a="http://schemas.openxmlformats.org/drawingml/2006/main">
          <a:off x="742686" y="919457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0.13586</cdr:x>
      <cdr:y>0.374</cdr:y>
    </cdr:from>
    <cdr:to>
      <cdr:x>0.14986</cdr:x>
      <cdr:y>0.40517</cdr:y>
    </cdr:to>
    <cdr:sp macro="" textlink="">
      <cdr:nvSpPr>
        <cdr:cNvPr id="18" name="Овал 17"/>
        <cdr:cNvSpPr/>
      </cdr:nvSpPr>
      <cdr:spPr>
        <a:xfrm xmlns:a="http://schemas.openxmlformats.org/drawingml/2006/main">
          <a:off x="750558" y="1487386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0.13655</cdr:x>
      <cdr:y>0.69657</cdr:y>
    </cdr:from>
    <cdr:to>
      <cdr:x>0.22409</cdr:x>
      <cdr:y>0.88684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AF644870-CA92-426B-9D7E-A2B630E5462F}"/>
            </a:ext>
          </a:extLst>
        </cdr:cNvPr>
        <cdr:cNvCxnSpPr/>
      </cdr:nvCxnSpPr>
      <cdr:spPr>
        <a:xfrm xmlns:a="http://schemas.openxmlformats.org/drawingml/2006/main" flipV="1">
          <a:off x="759776" y="2640187"/>
          <a:ext cx="487078" cy="72117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0.23387</cdr:x>
      <cdr:y>0.43112</cdr:y>
    </cdr:from>
    <cdr:to>
      <cdr:x>0.67965</cdr:x>
      <cdr:y>0.70016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53687CD1-B211-4D11-886D-705CB2F8B768}"/>
            </a:ext>
          </a:extLst>
        </cdr:cNvPr>
        <cdr:cNvCxnSpPr/>
      </cdr:nvCxnSpPr>
      <cdr:spPr>
        <a:xfrm xmlns:a="http://schemas.openxmlformats.org/drawingml/2006/main" flipV="1">
          <a:off x="1301282" y="1634059"/>
          <a:ext cx="2480371" cy="101973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0.6828</cdr:x>
      <cdr:y>0.25859</cdr:y>
    </cdr:from>
    <cdr:to>
      <cdr:x>0.94307</cdr:x>
      <cdr:y>0.41824</cdr:y>
    </cdr:to>
    <cdr:cxnSp macro="">
      <cdr:nvCxnSpPr>
        <cdr:cNvPr id="14" name="Прямая со стрелкой 13">
          <a:extLst xmlns:a="http://schemas.openxmlformats.org/drawingml/2006/main">
            <a:ext uri="{FF2B5EF4-FFF2-40B4-BE49-F238E27FC236}">
              <a16:creationId xmlns:a16="http://schemas.microsoft.com/office/drawing/2014/main" id="{63E22BC3-C056-45AC-BA92-4A0A15B24222}"/>
            </a:ext>
          </a:extLst>
        </cdr:cNvPr>
        <cdr:cNvCxnSpPr/>
      </cdr:nvCxnSpPr>
      <cdr:spPr>
        <a:xfrm xmlns:a="http://schemas.openxmlformats.org/drawingml/2006/main" flipV="1">
          <a:off x="3799162" y="980115"/>
          <a:ext cx="1448192" cy="60512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141972</xdr:colOff>
      <xdr:row>23</xdr:row>
      <xdr:rowOff>172795</xdr:rowOff>
    </xdr:from>
    <xdr:to>
      <xdr:col>35</xdr:col>
      <xdr:colOff>73021</xdr:colOff>
      <xdr:row>44</xdr:row>
      <xdr:rowOff>141357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695325</xdr:colOff>
          <xdr:row>11</xdr:row>
          <xdr:rowOff>257175</xdr:rowOff>
        </xdr:from>
        <xdr:to>
          <xdr:col>5</xdr:col>
          <xdr:colOff>800100</xdr:colOff>
          <xdr:row>13</xdr:row>
          <xdr:rowOff>123825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24</xdr:col>
      <xdr:colOff>590247</xdr:colOff>
      <xdr:row>1</xdr:row>
      <xdr:rowOff>126646</xdr:rowOff>
    </xdr:from>
    <xdr:to>
      <xdr:col>33</xdr:col>
      <xdr:colOff>563675</xdr:colOff>
      <xdr:row>21</xdr:row>
      <xdr:rowOff>69496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113268</xdr:colOff>
      <xdr:row>52</xdr:row>
      <xdr:rowOff>39222</xdr:rowOff>
    </xdr:from>
    <xdr:to>
      <xdr:col>7</xdr:col>
      <xdr:colOff>1200429</xdr:colOff>
      <xdr:row>77</xdr:row>
      <xdr:rowOff>31842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762000</xdr:colOff>
          <xdr:row>11</xdr:row>
          <xdr:rowOff>247650</xdr:rowOff>
        </xdr:from>
        <xdr:to>
          <xdr:col>6</xdr:col>
          <xdr:colOff>895350</xdr:colOff>
          <xdr:row>13</xdr:row>
          <xdr:rowOff>123825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19</xdr:col>
      <xdr:colOff>786777</xdr:colOff>
      <xdr:row>23</xdr:row>
      <xdr:rowOff>160816</xdr:rowOff>
    </xdr:from>
    <xdr:to>
      <xdr:col>21</xdr:col>
      <xdr:colOff>107604</xdr:colOff>
      <xdr:row>25</xdr:row>
      <xdr:rowOff>20011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7904563" y="4760030"/>
          <a:ext cx="940077" cy="2401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1200150</xdr:colOff>
          <xdr:row>11</xdr:row>
          <xdr:rowOff>304800</xdr:rowOff>
        </xdr:from>
        <xdr:to>
          <xdr:col>7</xdr:col>
          <xdr:colOff>1323975</xdr:colOff>
          <xdr:row>13</xdr:row>
          <xdr:rowOff>95250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1145368</xdr:colOff>
      <xdr:row>54</xdr:row>
      <xdr:rowOff>93918</xdr:rowOff>
    </xdr:from>
    <xdr:to>
      <xdr:col>10</xdr:col>
      <xdr:colOff>599899</xdr:colOff>
      <xdr:row>79</xdr:row>
      <xdr:rowOff>22481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571499</xdr:colOff>
      <xdr:row>29</xdr:row>
      <xdr:rowOff>9525</xdr:rowOff>
    </xdr:from>
    <xdr:to>
      <xdr:col>23</xdr:col>
      <xdr:colOff>314324</xdr:colOff>
      <xdr:row>40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3525499" y="5762625"/>
          <a:ext cx="6753225" cy="2105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Наибольший</a:t>
          </a:r>
          <a:r>
            <a:rPr lang="ru-RU" sz="1600" baseline="0"/>
            <a:t>  </a:t>
          </a:r>
          <a:r>
            <a:rPr lang="en-US" sz="1600" baseline="0"/>
            <a:t>R^2 = </a:t>
          </a:r>
          <a:r>
            <a:rPr lang="en-US" sz="1600" baseline="0">
              <a:solidFill>
                <a:srgbClr val="FF0000"/>
              </a:solidFill>
            </a:rPr>
            <a:t>99,</a:t>
          </a:r>
          <a:r>
            <a:rPr lang="ru-RU" sz="1600" baseline="0">
              <a:solidFill>
                <a:srgbClr val="FF0000"/>
              </a:solidFill>
            </a:rPr>
            <a:t>376</a:t>
          </a:r>
          <a:r>
            <a:rPr lang="en-US" sz="1600" baseline="0"/>
            <a:t>% </a:t>
          </a:r>
          <a:r>
            <a:rPr lang="ru-RU" sz="1600" baseline="0"/>
            <a:t>дают способ К = </a:t>
          </a:r>
          <a:r>
            <a:rPr lang="ru-RU" sz="1600" baseline="0">
              <a:solidFill>
                <a:srgbClr val="FF0000"/>
              </a:solidFill>
            </a:rPr>
            <a:t>2</a:t>
          </a:r>
          <a:r>
            <a:rPr lang="ru-RU" sz="1600" baseline="0"/>
            <a:t>, </a:t>
          </a:r>
          <a:r>
            <a:rPr lang="ru-RU" sz="1600" baseline="0">
              <a:solidFill>
                <a:srgbClr val="FF0000"/>
              </a:solidFill>
            </a:rPr>
            <a:t>горизонт 8 лет</a:t>
          </a:r>
          <a:r>
            <a:rPr lang="ru-RU" sz="1600" baseline="0"/>
            <a:t>.</a:t>
          </a:r>
        </a:p>
        <a:p>
          <a:r>
            <a:rPr lang="ru-RU" sz="1600" baseline="0"/>
            <a:t>Возможны 4 ситуации </a:t>
          </a:r>
          <a:r>
            <a:rPr lang="ru-RU" sz="1600" baseline="0">
              <a:solidFill>
                <a:srgbClr val="FF0000"/>
              </a:solidFill>
            </a:rPr>
            <a:t>8 лет назад</a:t>
          </a:r>
          <a:r>
            <a:rPr lang="ru-RU" sz="1600" baseline="0"/>
            <a:t>:</a:t>
          </a:r>
        </a:p>
        <a:p>
          <a:r>
            <a:rPr lang="en-US" sz="1600"/>
            <a:t>S1 - </a:t>
          </a:r>
          <a:r>
            <a:rPr lang="ru-RU" sz="1600">
              <a:solidFill>
                <a:srgbClr val="FF0000"/>
              </a:solidFill>
            </a:rPr>
            <a:t>сильно хуже </a:t>
          </a:r>
          <a:r>
            <a:rPr lang="ru-RU" sz="1600"/>
            <a:t>(6,25%)  - </a:t>
          </a:r>
          <a:r>
            <a:rPr lang="ru-RU" sz="1600">
              <a:solidFill>
                <a:srgbClr val="FF0000"/>
              </a:solidFill>
            </a:rPr>
            <a:t>в этом году</a:t>
          </a:r>
          <a:r>
            <a:rPr lang="ru-RU" sz="1600" baseline="0">
              <a:solidFill>
                <a:srgbClr val="FF0000"/>
              </a:solidFill>
            </a:rPr>
            <a:t> </a:t>
          </a:r>
          <a:r>
            <a:rPr lang="ru-RU" sz="1600"/>
            <a:t>на </a:t>
          </a:r>
          <a:r>
            <a:rPr lang="ru-RU" sz="1600">
              <a:solidFill>
                <a:srgbClr val="FF0000"/>
              </a:solidFill>
            </a:rPr>
            <a:t>1</a:t>
          </a:r>
          <a:r>
            <a:rPr lang="ru-RU" sz="1600"/>
            <a:t> млн </a:t>
          </a:r>
          <a:r>
            <a:rPr lang="ru-RU" sz="1600">
              <a:solidFill>
                <a:srgbClr val="FF0000"/>
              </a:solidFill>
            </a:rPr>
            <a:t>выше</a:t>
          </a:r>
          <a:r>
            <a:rPr lang="ru-RU" sz="1600"/>
            <a:t> среднеожидаемого</a:t>
          </a:r>
        </a:p>
        <a:p>
          <a:r>
            <a:rPr lang="en-US" sz="1600"/>
            <a:t>S2 - </a:t>
          </a:r>
          <a:r>
            <a:rPr lang="ru-RU" sz="1600"/>
            <a:t>скорее хуже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(37,5%)  </a:t>
          </a:r>
          <a:r>
            <a:rPr lang="ru-RU" sz="1600"/>
            <a:t>- </a:t>
          </a:r>
          <a:r>
            <a:rPr lang="ru-RU" sz="1600">
              <a:solidFill>
                <a:srgbClr val="FF0000"/>
              </a:solidFill>
            </a:rPr>
            <a:t>в этом году </a:t>
          </a:r>
          <a:r>
            <a:rPr lang="ru-RU" sz="1600"/>
            <a:t>на </a:t>
          </a:r>
          <a:r>
            <a:rPr lang="ru-RU" sz="1600">
              <a:solidFill>
                <a:srgbClr val="FF0000"/>
              </a:solidFill>
            </a:rPr>
            <a:t>2</a:t>
          </a:r>
          <a:r>
            <a:rPr lang="ru-RU" sz="1600"/>
            <a:t> млн </a:t>
          </a:r>
          <a:r>
            <a:rPr lang="ru-RU" sz="1600">
              <a:solidFill>
                <a:srgbClr val="FF0000"/>
              </a:solidFill>
            </a:rPr>
            <a:t>выше</a:t>
          </a:r>
          <a:r>
            <a:rPr lang="ru-RU" sz="1600" baseline="0"/>
            <a:t> -----------------------</a:t>
          </a:r>
          <a:endParaRPr lang="ru-RU" sz="1600"/>
        </a:p>
        <a:p>
          <a:r>
            <a:rPr lang="en-US" sz="1600"/>
            <a:t>S3 - </a:t>
          </a:r>
          <a:r>
            <a:rPr lang="ru-RU" sz="1600"/>
            <a:t>по тренду     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(31,25%)  </a:t>
          </a:r>
          <a:r>
            <a:rPr lang="ru-RU" sz="1600"/>
            <a:t>- ----------------на   0.6</a:t>
          </a:r>
          <a:r>
            <a:rPr lang="ru-RU" sz="1600" baseline="0"/>
            <a:t> </a:t>
          </a:r>
          <a:r>
            <a:rPr lang="ru-RU" sz="1600"/>
            <a:t>млн </a:t>
          </a:r>
          <a:r>
            <a:rPr lang="ru-RU" sz="1600">
              <a:solidFill>
                <a:srgbClr val="FF0000"/>
              </a:solidFill>
            </a:rPr>
            <a:t>ниже</a:t>
          </a:r>
          <a:r>
            <a:rPr lang="ru-RU" sz="1600"/>
            <a:t> </a:t>
          </a:r>
        </a:p>
        <a:p>
          <a:r>
            <a:rPr lang="en-US" sz="1600"/>
            <a:t>S4 - </a:t>
          </a:r>
          <a:r>
            <a:rPr lang="ru-RU" sz="1600"/>
            <a:t>знач.лучше    </a:t>
          </a:r>
          <a:r>
            <a:rPr lang="ru-RU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(25,0,%) </a:t>
          </a:r>
          <a:r>
            <a:rPr lang="ru-RU" sz="1600"/>
            <a:t>- ----------------на </a:t>
          </a:r>
          <a:r>
            <a:rPr lang="ru-RU" sz="1600" baseline="0"/>
            <a:t> 2.4 млн </a:t>
          </a:r>
          <a:r>
            <a:rPr lang="ru-RU" sz="1600" baseline="0">
              <a:solidFill>
                <a:srgbClr val="FF0000"/>
              </a:solidFill>
            </a:rPr>
            <a:t>ниже</a:t>
          </a:r>
          <a:r>
            <a:rPr lang="ru-RU" sz="1600" baseline="0"/>
            <a:t> 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0.14144</cdr:x>
      <cdr:y>0.90473</cdr:y>
    </cdr:from>
    <cdr:to>
      <cdr:x>0.99256</cdr:x>
      <cdr:y>0.91501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043D9C21-0345-4221-AEDB-3391990C2A58}"/>
            </a:ext>
          </a:extLst>
        </cdr:cNvPr>
        <cdr:cNvCxnSpPr/>
      </cdr:nvCxnSpPr>
      <cdr:spPr>
        <a:xfrm xmlns:a="http://schemas.openxmlformats.org/drawingml/2006/main">
          <a:off x="775607" y="3592286"/>
          <a:ext cx="4667250" cy="4082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0.13896</cdr:x>
      <cdr:y>0.17295</cdr:y>
    </cdr:from>
    <cdr:to>
      <cdr:x>0.97022</cdr:x>
      <cdr:y>0.1798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E0011AF-20D1-4617-9E17-DA9B5CC93D26}"/>
            </a:ext>
          </a:extLst>
        </cdr:cNvPr>
        <cdr:cNvCxnSpPr/>
      </cdr:nvCxnSpPr>
      <cdr:spPr>
        <a:xfrm xmlns:a="http://schemas.openxmlformats.org/drawingml/2006/main" flipV="1">
          <a:off x="767678" y="687814"/>
          <a:ext cx="4592361" cy="2725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0.13273</cdr:x>
      <cdr:y>0.58617</cdr:y>
    </cdr:from>
    <cdr:to>
      <cdr:x>0.97144</cdr:x>
      <cdr:y>0.59302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D0DD0413-B027-4614-8F22-C59413DB3F8F}"/>
            </a:ext>
          </a:extLst>
        </cdr:cNvPr>
        <cdr:cNvCxnSpPr/>
      </cdr:nvCxnSpPr>
      <cdr:spPr>
        <a:xfrm xmlns:a="http://schemas.openxmlformats.org/drawingml/2006/main" flipV="1">
          <a:off x="733255" y="2331178"/>
          <a:ext cx="4633486" cy="2725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0.14063</cdr:x>
      <cdr:y>0.34284</cdr:y>
    </cdr:from>
    <cdr:to>
      <cdr:x>0.95204</cdr:x>
      <cdr:y>0.34969</cdr:y>
    </cdr:to>
    <cdr:cxnSp macro="">
      <cdr:nvCxnSpPr>
        <cdr:cNvPr id="10" name="Прямая соединительная линия 9">
          <a:extLst xmlns:a="http://schemas.openxmlformats.org/drawingml/2006/main">
            <a:ext uri="{FF2B5EF4-FFF2-40B4-BE49-F238E27FC236}">
              <a16:creationId xmlns:a16="http://schemas.microsoft.com/office/drawing/2014/main" id="{1E24C6DC-AF63-4E6B-8986-AD5310BFA369}"/>
            </a:ext>
          </a:extLst>
        </cdr:cNvPr>
        <cdr:cNvCxnSpPr/>
      </cdr:nvCxnSpPr>
      <cdr:spPr>
        <a:xfrm xmlns:a="http://schemas.openxmlformats.org/drawingml/2006/main" flipV="1">
          <a:off x="776521" y="1361738"/>
          <a:ext cx="4480419" cy="272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0.14308</cdr:x>
      <cdr:y>0.72812</cdr:y>
    </cdr:from>
    <cdr:to>
      <cdr:x>0.96442</cdr:x>
      <cdr:y>0.72812</cdr:y>
    </cdr:to>
    <cdr:cxnSp macro="">
      <cdr:nvCxnSpPr>
        <cdr:cNvPr id="12" name="Прямая соединительная линия 11">
          <a:extLst xmlns:a="http://schemas.openxmlformats.org/drawingml/2006/main">
            <a:ext uri="{FF2B5EF4-FFF2-40B4-BE49-F238E27FC236}">
              <a16:creationId xmlns:a16="http://schemas.microsoft.com/office/drawing/2014/main" id="{90330747-4E96-43BE-A8CD-67C576BC98C2}"/>
            </a:ext>
          </a:extLst>
        </cdr:cNvPr>
        <cdr:cNvCxnSpPr/>
      </cdr:nvCxnSpPr>
      <cdr:spPr>
        <a:xfrm xmlns:a="http://schemas.openxmlformats.org/drawingml/2006/main">
          <a:off x="790478" y="2895726"/>
          <a:ext cx="453752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0.14724</cdr:x>
      <cdr:y>0.75066</cdr:y>
    </cdr:from>
    <cdr:to>
      <cdr:x>0.26058</cdr:x>
      <cdr:y>0.85711</cdr:y>
    </cdr:to>
    <cdr:sp macro="" textlink="">
      <cdr:nvSpPr>
        <cdr:cNvPr id="13" name="TextBox 12"/>
        <cdr:cNvSpPr txBox="1"/>
      </cdr:nvSpPr>
      <cdr:spPr>
        <a:xfrm xmlns:a="http://schemas.openxmlformats.org/drawingml/2006/main">
          <a:off x="806962" y="2978781"/>
          <a:ext cx="621196" cy="422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S1</a:t>
          </a:r>
        </a:p>
      </cdr:txBody>
    </cdr:sp>
  </cdr:relSizeAnchor>
  <cdr:relSizeAnchor xmlns:cdr="http://schemas.openxmlformats.org/drawingml/2006/chartDrawing">
    <cdr:from>
      <cdr:x>0.13168</cdr:x>
      <cdr:y>0.21944</cdr:y>
    </cdr:from>
    <cdr:to>
      <cdr:x>0.24502</cdr:x>
      <cdr:y>0.32589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721691" y="870779"/>
          <a:ext cx="621196" cy="422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S4</a:t>
          </a:r>
        </a:p>
      </cdr:txBody>
    </cdr:sp>
  </cdr:relSizeAnchor>
  <cdr:relSizeAnchor xmlns:cdr="http://schemas.openxmlformats.org/drawingml/2006/chartDrawing">
    <cdr:from>
      <cdr:x>0.13734</cdr:x>
      <cdr:y>0.89348</cdr:y>
    </cdr:from>
    <cdr:to>
      <cdr:x>0.15134</cdr:x>
      <cdr:y>0.92465</cdr:y>
    </cdr:to>
    <cdr:sp macro="" textlink="">
      <cdr:nvSpPr>
        <cdr:cNvPr id="15" name="Овал 14"/>
        <cdr:cNvSpPr/>
      </cdr:nvSpPr>
      <cdr:spPr>
        <a:xfrm xmlns:a="http://schemas.openxmlformats.org/drawingml/2006/main">
          <a:off x="758761" y="3553340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0.13733</cdr:x>
      <cdr:y>0.65649</cdr:y>
    </cdr:from>
    <cdr:to>
      <cdr:x>0.15133</cdr:x>
      <cdr:y>0.68767</cdr:y>
    </cdr:to>
    <cdr:sp macro="" textlink="">
      <cdr:nvSpPr>
        <cdr:cNvPr id="16" name="Овал 15"/>
        <cdr:cNvSpPr/>
      </cdr:nvSpPr>
      <cdr:spPr>
        <a:xfrm xmlns:a="http://schemas.openxmlformats.org/drawingml/2006/main">
          <a:off x="758678" y="2610845"/>
          <a:ext cx="77333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0.13443</cdr:x>
      <cdr:y>0.2312</cdr:y>
    </cdr:from>
    <cdr:to>
      <cdr:x>0.14843</cdr:x>
      <cdr:y>0.26237</cdr:y>
    </cdr:to>
    <cdr:sp macro="" textlink="">
      <cdr:nvSpPr>
        <cdr:cNvPr id="17" name="Овал 16"/>
        <cdr:cNvSpPr/>
      </cdr:nvSpPr>
      <cdr:spPr>
        <a:xfrm xmlns:a="http://schemas.openxmlformats.org/drawingml/2006/main">
          <a:off x="742686" y="919457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0.13586</cdr:x>
      <cdr:y>0.374</cdr:y>
    </cdr:from>
    <cdr:to>
      <cdr:x>0.14986</cdr:x>
      <cdr:y>0.40517</cdr:y>
    </cdr:to>
    <cdr:sp macro="" textlink="">
      <cdr:nvSpPr>
        <cdr:cNvPr id="18" name="Овал 17"/>
        <cdr:cNvSpPr/>
      </cdr:nvSpPr>
      <cdr:spPr>
        <a:xfrm xmlns:a="http://schemas.openxmlformats.org/drawingml/2006/main">
          <a:off x="750558" y="1487386"/>
          <a:ext cx="77334" cy="12398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0.7129</cdr:x>
      <cdr:y>0.02117</cdr:y>
    </cdr:from>
    <cdr:to>
      <cdr:x>0.715</cdr:x>
      <cdr:y>0.89366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C315D27D-61E8-40A9-B768-D8D9CC2C0D2B}"/>
            </a:ext>
          </a:extLst>
        </cdr:cNvPr>
        <cdr:cNvCxnSpPr/>
      </cdr:nvCxnSpPr>
      <cdr:spPr>
        <a:xfrm xmlns:a="http://schemas.openxmlformats.org/drawingml/2006/main" flipV="1">
          <a:off x="3842693" y="100666"/>
          <a:ext cx="11319" cy="414879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233363</xdr:colOff>
      <xdr:row>83</xdr:row>
      <xdr:rowOff>61913</xdr:rowOff>
    </xdr:from>
    <xdr:to>
      <xdr:col>25</xdr:col>
      <xdr:colOff>347663</xdr:colOff>
      <xdr:row>130</xdr:row>
      <xdr:rowOff>4909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582" y="15873413"/>
          <a:ext cx="14687550" cy="8896496"/>
        </a:xfrm>
        <a:prstGeom prst="rect">
          <a:avLst/>
        </a:prstGeom>
      </xdr:spPr>
    </xdr:pic>
    <xdr:clientData/>
  </xdr:twoCellAnchor>
  <xdr:twoCellAnchor editAs="oneCell">
    <xdr:from>
      <xdr:col>1</xdr:col>
      <xdr:colOff>245268</xdr:colOff>
      <xdr:row>1</xdr:row>
      <xdr:rowOff>14288</xdr:rowOff>
    </xdr:from>
    <xdr:to>
      <xdr:col>25</xdr:col>
      <xdr:colOff>272011</xdr:colOff>
      <xdr:row>40</xdr:row>
      <xdr:rowOff>127645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487" y="204788"/>
          <a:ext cx="14599993" cy="7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259557</xdr:colOff>
      <xdr:row>42</xdr:row>
      <xdr:rowOff>9525</xdr:rowOff>
    </xdr:from>
    <xdr:to>
      <xdr:col>25</xdr:col>
      <xdr:colOff>391062</xdr:colOff>
      <xdr:row>81</xdr:row>
      <xdr:rowOff>84787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6" y="8010525"/>
          <a:ext cx="14704755" cy="75047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koriDynasty" refreshedDate="46103.729440277777" createdVersion="6" refreshedVersion="6" minRefreshableVersion="3" recordCount="24" xr:uid="{00000000-000A-0000-FFFF-FFFF02000000}">
  <cacheSource type="worksheet">
    <worksheetSource ref="G16:H40" sheet="Fiction"/>
  </cacheSource>
  <cacheFields count="2">
    <cacheField name="ERR" numFmtId="164">
      <sharedItems containsSemiMixedTypes="0" containsString="0" containsNumber="1" minValue="-1084579.7516483255" maxValue="1388416.8639954366"/>
    </cacheField>
    <cacheField name="Ситуация" numFmtId="0">
      <sharedItems count="5">
        <s v="S2 - скорее хуже"/>
        <s v="S3 - по тренду"/>
        <s v="S1 - эпический провал"/>
        <s v="S4 - знач.лучше"/>
        <s v="S1 - знач.хуже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-205355.96591554908"/>
    <x v="0"/>
  </r>
  <r>
    <n v="126922.24341822905"/>
    <x v="0"/>
  </r>
  <r>
    <n v="166225.67602286441"/>
    <x v="1"/>
  </r>
  <r>
    <n v="77558.838249104563"/>
    <x v="0"/>
  </r>
  <r>
    <n v="76007.597746903077"/>
    <x v="0"/>
  </r>
  <r>
    <n v="-64341.01515824534"/>
    <x v="0"/>
  </r>
  <r>
    <n v="219616.19241412822"/>
    <x v="1"/>
  </r>
  <r>
    <n v="-236876.00087641552"/>
    <x v="0"/>
  </r>
  <r>
    <n v="-501282.03984874301"/>
    <x v="2"/>
  </r>
  <r>
    <n v="-438183.30876219086"/>
    <x v="0"/>
  </r>
  <r>
    <n v="216385.42504277267"/>
    <x v="1"/>
  </r>
  <r>
    <n v="571247.53819600306"/>
    <x v="1"/>
  </r>
  <r>
    <n v="-208873.10423981957"/>
    <x v="0"/>
  </r>
  <r>
    <n v="-78968.871158691123"/>
    <x v="0"/>
  </r>
  <r>
    <n v="413797.56637936644"/>
    <x v="1"/>
  </r>
  <r>
    <n v="615360.34297142923"/>
    <x v="1"/>
  </r>
  <r>
    <n v="520683.98875106499"/>
    <x v="1"/>
  </r>
  <r>
    <n v="-452442.33877614327"/>
    <x v="0"/>
  </r>
  <r>
    <n v="-941121.32289712317"/>
    <x v="2"/>
  </r>
  <r>
    <n v="-981995.35585575178"/>
    <x v="2"/>
  </r>
  <r>
    <n v="-202991.80701731145"/>
    <x v="0"/>
  </r>
  <r>
    <n v="1004788.6089669578"/>
    <x v="3"/>
  </r>
  <r>
    <n v="1388416.8639954366"/>
    <x v="3"/>
  </r>
  <r>
    <n v="-1084579.751648325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R5:S10" firstHeaderRow="1" firstDataRow="1" firstDataCol="1"/>
  <pivotFields count="2">
    <pivotField dataField="1" numFmtId="164" showAll="0"/>
    <pivotField axis="axisRow" showAll="0">
      <items count="6">
        <item m="1" x="4"/>
        <item x="0"/>
        <item x="1"/>
        <item x="3"/>
        <item x="2"/>
        <item t="default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ее по полю ERR" fld="0" subtotal="average" baseField="1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zoomScale="85" zoomScaleNormal="85" workbookViewId="0">
      <selection activeCell="D5" sqref="D5"/>
    </sheetView>
  </sheetViews>
  <sheetFormatPr defaultRowHeight="15" x14ac:dyDescent="0.25"/>
  <cols>
    <col min="1" max="1" width="3" bestFit="1" customWidth="1"/>
    <col min="2" max="2" width="10" customWidth="1"/>
    <col min="3" max="3" width="12.7109375" customWidth="1"/>
    <col min="13" max="13" width="12.140625" bestFit="1" customWidth="1"/>
  </cols>
  <sheetData>
    <row r="1" spans="1:14" x14ac:dyDescent="0.25">
      <c r="B1" t="s">
        <v>97</v>
      </c>
      <c r="C1" s="15">
        <v>5</v>
      </c>
    </row>
    <row r="2" spans="1:14" x14ac:dyDescent="0.25">
      <c r="B2" t="s">
        <v>98</v>
      </c>
      <c r="C2" s="28" t="s">
        <v>132</v>
      </c>
    </row>
    <row r="3" spans="1:14" x14ac:dyDescent="0.25">
      <c r="B3" t="s">
        <v>99</v>
      </c>
      <c r="C3" s="28" t="s">
        <v>184</v>
      </c>
    </row>
    <row r="4" spans="1:14" x14ac:dyDescent="0.25">
      <c r="B4" t="s">
        <v>100</v>
      </c>
      <c r="C4" s="29">
        <v>11</v>
      </c>
      <c r="D4" s="65" t="s">
        <v>101</v>
      </c>
      <c r="E4" s="65"/>
      <c r="F4" s="65"/>
      <c r="G4" s="65"/>
      <c r="H4" s="65"/>
    </row>
    <row r="6" spans="1:14" x14ac:dyDescent="0.25">
      <c r="A6" s="3">
        <v>0</v>
      </c>
      <c r="B6" s="3" t="s">
        <v>102</v>
      </c>
      <c r="C6" s="3"/>
      <c r="N6" s="30" t="str">
        <f>"Например: "&amp;SUBSTITUTE(C2,"-","")&amp;" "&amp;RIGHT("0"&amp;C1,2)&amp;" "&amp;SUBSTITUTE(SUBSTITUTE(C3,".","")," ","")</f>
        <v>Например: ПМ2541 05 ПетровГА</v>
      </c>
    </row>
    <row r="7" spans="1:14" ht="3" customHeight="1" x14ac:dyDescent="0.25">
      <c r="B7" t="s">
        <v>103</v>
      </c>
    </row>
    <row r="8" spans="1:14" ht="3" customHeight="1" x14ac:dyDescent="0.25">
      <c r="B8" t="s">
        <v>104</v>
      </c>
    </row>
    <row r="9" spans="1:14" ht="3" customHeight="1" x14ac:dyDescent="0.25"/>
    <row r="10" spans="1:14" x14ac:dyDescent="0.25">
      <c r="B10" s="3" t="s">
        <v>105</v>
      </c>
      <c r="C10" s="3" t="s">
        <v>107</v>
      </c>
    </row>
    <row r="12" spans="1:14" x14ac:dyDescent="0.25">
      <c r="B12" s="3" t="s">
        <v>106</v>
      </c>
      <c r="C12" s="5" t="s">
        <v>108</v>
      </c>
      <c r="H12" s="30" t="s">
        <v>109</v>
      </c>
    </row>
    <row r="13" spans="1:14" x14ac:dyDescent="0.25">
      <c r="C13" s="5" t="s">
        <v>110</v>
      </c>
      <c r="H13" s="30" t="s">
        <v>111</v>
      </c>
    </row>
    <row r="14" spans="1:14" x14ac:dyDescent="0.25">
      <c r="C14" s="5"/>
    </row>
    <row r="15" spans="1:14" x14ac:dyDescent="0.25">
      <c r="B15" s="3" t="s">
        <v>2</v>
      </c>
    </row>
    <row r="16" spans="1:14" x14ac:dyDescent="0.25">
      <c r="A16" s="3" t="s">
        <v>52</v>
      </c>
      <c r="B16" s="3"/>
    </row>
    <row r="17" spans="1:10" x14ac:dyDescent="0.25">
      <c r="A17" s="30" t="s">
        <v>112</v>
      </c>
      <c r="B17" s="3"/>
    </row>
    <row r="18" spans="1:10" x14ac:dyDescent="0.25">
      <c r="A18" s="5" t="s">
        <v>113</v>
      </c>
      <c r="B18" s="3"/>
      <c r="J18" s="30" t="s">
        <v>128</v>
      </c>
    </row>
    <row r="19" spans="1:10" x14ac:dyDescent="0.25">
      <c r="A19">
        <v>1</v>
      </c>
      <c r="B19" t="s">
        <v>3</v>
      </c>
    </row>
    <row r="20" spans="1:10" x14ac:dyDescent="0.25">
      <c r="A20">
        <v>2</v>
      </c>
      <c r="B20" t="s">
        <v>53</v>
      </c>
    </row>
    <row r="21" spans="1:10" x14ac:dyDescent="0.25">
      <c r="A21">
        <v>3</v>
      </c>
      <c r="B21" t="s">
        <v>54</v>
      </c>
    </row>
    <row r="23" spans="1:10" x14ac:dyDescent="0.25">
      <c r="A23">
        <v>4</v>
      </c>
      <c r="B23" t="s">
        <v>58</v>
      </c>
    </row>
    <row r="24" spans="1:10" x14ac:dyDescent="0.25">
      <c r="B24" t="s">
        <v>55</v>
      </c>
    </row>
    <row r="25" spans="1:10" x14ac:dyDescent="0.25">
      <c r="B25" t="s">
        <v>56</v>
      </c>
    </row>
    <row r="26" spans="1:10" x14ac:dyDescent="0.25">
      <c r="B26" t="s">
        <v>57</v>
      </c>
    </row>
    <row r="27" spans="1:10" x14ac:dyDescent="0.25">
      <c r="B27" t="s">
        <v>59</v>
      </c>
    </row>
    <row r="28" spans="1:10" x14ac:dyDescent="0.25">
      <c r="B28" t="s">
        <v>60</v>
      </c>
    </row>
    <row r="30" spans="1:10" x14ac:dyDescent="0.25">
      <c r="A30">
        <v>5</v>
      </c>
      <c r="B30" t="s">
        <v>61</v>
      </c>
    </row>
    <row r="32" spans="1:10" x14ac:dyDescent="0.25">
      <c r="A32">
        <v>6</v>
      </c>
      <c r="B32" t="s">
        <v>63</v>
      </c>
    </row>
    <row r="33" spans="1:2" x14ac:dyDescent="0.25">
      <c r="B33" t="s">
        <v>62</v>
      </c>
    </row>
    <row r="34" spans="1:2" x14ac:dyDescent="0.25">
      <c r="B34" t="s">
        <v>64</v>
      </c>
    </row>
    <row r="35" spans="1:2" x14ac:dyDescent="0.25">
      <c r="B35" t="s">
        <v>65</v>
      </c>
    </row>
    <row r="36" spans="1:2" x14ac:dyDescent="0.25">
      <c r="B36" t="s">
        <v>66</v>
      </c>
    </row>
    <row r="38" spans="1:2" x14ac:dyDescent="0.25">
      <c r="A38">
        <v>7</v>
      </c>
      <c r="B38" t="s">
        <v>67</v>
      </c>
    </row>
    <row r="40" spans="1:2" x14ac:dyDescent="0.25">
      <c r="A40" s="5" t="s">
        <v>114</v>
      </c>
    </row>
    <row r="41" spans="1:2" x14ac:dyDescent="0.25">
      <c r="A41">
        <v>1</v>
      </c>
      <c r="B41" t="s">
        <v>115</v>
      </c>
    </row>
    <row r="42" spans="1:2" x14ac:dyDescent="0.25">
      <c r="A42">
        <v>2</v>
      </c>
      <c r="B42" t="s">
        <v>116</v>
      </c>
    </row>
    <row r="43" spans="1:2" x14ac:dyDescent="0.25">
      <c r="B43" t="s">
        <v>117</v>
      </c>
    </row>
    <row r="44" spans="1:2" x14ac:dyDescent="0.25">
      <c r="B44" t="s">
        <v>118</v>
      </c>
    </row>
    <row r="45" spans="1:2" x14ac:dyDescent="0.25">
      <c r="B45" t="s">
        <v>119</v>
      </c>
    </row>
    <row r="46" spans="1:2" x14ac:dyDescent="0.25">
      <c r="A46">
        <v>3</v>
      </c>
      <c r="B46" t="s">
        <v>68</v>
      </c>
    </row>
    <row r="47" spans="1:2" x14ac:dyDescent="0.25">
      <c r="B47" s="30" t="s">
        <v>120</v>
      </c>
    </row>
    <row r="48" spans="1:2" x14ac:dyDescent="0.25">
      <c r="A48">
        <v>4</v>
      </c>
      <c r="B48" t="s">
        <v>69</v>
      </c>
    </row>
    <row r="49" spans="1:15" x14ac:dyDescent="0.25">
      <c r="A49">
        <v>5</v>
      </c>
      <c r="B49" s="5" t="s">
        <v>121</v>
      </c>
    </row>
    <row r="51" spans="1:15" x14ac:dyDescent="0.25">
      <c r="A51" s="3" t="s">
        <v>122</v>
      </c>
    </row>
    <row r="52" spans="1:15" x14ac:dyDescent="0.25">
      <c r="A52">
        <v>1</v>
      </c>
      <c r="B52" t="s">
        <v>78</v>
      </c>
      <c r="O52" s="30" t="s">
        <v>123</v>
      </c>
    </row>
    <row r="53" spans="1:15" x14ac:dyDescent="0.25">
      <c r="A53">
        <v>2</v>
      </c>
      <c r="B53" t="s">
        <v>79</v>
      </c>
    </row>
    <row r="55" spans="1:15" x14ac:dyDescent="0.25">
      <c r="A55" s="5" t="s">
        <v>85</v>
      </c>
    </row>
    <row r="56" spans="1:15" x14ac:dyDescent="0.25">
      <c r="A56">
        <v>3</v>
      </c>
      <c r="B56" t="s">
        <v>80</v>
      </c>
    </row>
    <row r="57" spans="1:15" x14ac:dyDescent="0.25">
      <c r="B57" t="s">
        <v>81</v>
      </c>
    </row>
    <row r="58" spans="1:15" x14ac:dyDescent="0.25">
      <c r="B58" t="s">
        <v>124</v>
      </c>
    </row>
    <row r="59" spans="1:15" x14ac:dyDescent="0.25">
      <c r="A59">
        <v>4</v>
      </c>
      <c r="B59" t="s">
        <v>82</v>
      </c>
    </row>
    <row r="60" spans="1:15" x14ac:dyDescent="0.25">
      <c r="A60">
        <v>5</v>
      </c>
      <c r="B60" t="s">
        <v>83</v>
      </c>
    </row>
    <row r="61" spans="1:15" x14ac:dyDescent="0.25">
      <c r="A61">
        <v>6</v>
      </c>
      <c r="B61" t="s">
        <v>84</v>
      </c>
    </row>
    <row r="63" spans="1:15" x14ac:dyDescent="0.25">
      <c r="A63" s="5" t="s">
        <v>86</v>
      </c>
    </row>
    <row r="64" spans="1:15" x14ac:dyDescent="0.25">
      <c r="A64">
        <v>7</v>
      </c>
      <c r="B64" t="s">
        <v>87</v>
      </c>
    </row>
    <row r="65" spans="1:2" x14ac:dyDescent="0.25">
      <c r="B65" t="s">
        <v>88</v>
      </c>
    </row>
    <row r="66" spans="1:2" x14ac:dyDescent="0.25">
      <c r="A66">
        <v>8</v>
      </c>
      <c r="B66" t="s">
        <v>89</v>
      </c>
    </row>
    <row r="67" spans="1:2" x14ac:dyDescent="0.25">
      <c r="A67">
        <v>9</v>
      </c>
      <c r="B67" t="s">
        <v>93</v>
      </c>
    </row>
    <row r="68" spans="1:2" x14ac:dyDescent="0.25">
      <c r="A68">
        <v>10</v>
      </c>
      <c r="B68" t="s">
        <v>90</v>
      </c>
    </row>
    <row r="70" spans="1:2" x14ac:dyDescent="0.25">
      <c r="A70">
        <v>11</v>
      </c>
      <c r="B70" t="s">
        <v>91</v>
      </c>
    </row>
    <row r="72" spans="1:2" x14ac:dyDescent="0.25">
      <c r="A72" s="5" t="s">
        <v>39</v>
      </c>
    </row>
    <row r="73" spans="1:2" x14ac:dyDescent="0.25">
      <c r="A73">
        <v>12</v>
      </c>
      <c r="B73" t="s">
        <v>92</v>
      </c>
    </row>
  </sheetData>
  <mergeCells count="1">
    <mergeCell ref="D4:H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="130" zoomScaleNormal="130" workbookViewId="0">
      <selection activeCell="A14" sqref="A14:XFD16"/>
    </sheetView>
  </sheetViews>
  <sheetFormatPr defaultRowHeight="15" x14ac:dyDescent="0.25"/>
  <cols>
    <col min="7" max="7" width="17.140625" customWidth="1"/>
  </cols>
  <sheetData>
    <row r="1" spans="1:9" s="39" customFormat="1" x14ac:dyDescent="0.25">
      <c r="A1" s="39" t="s">
        <v>134</v>
      </c>
    </row>
    <row r="2" spans="1:9" s="39" customFormat="1" x14ac:dyDescent="0.25">
      <c r="A2" s="39" t="s">
        <v>135</v>
      </c>
      <c r="F2" s="66" t="s">
        <v>147</v>
      </c>
      <c r="G2" s="70" t="s">
        <v>152</v>
      </c>
    </row>
    <row r="3" spans="1:9" s="39" customFormat="1" x14ac:dyDescent="0.25">
      <c r="B3" s="39" t="s">
        <v>136</v>
      </c>
      <c r="F3" s="66"/>
      <c r="G3" s="70"/>
    </row>
    <row r="4" spans="1:9" s="39" customFormat="1" x14ac:dyDescent="0.25">
      <c r="B4" s="39" t="s">
        <v>137</v>
      </c>
      <c r="F4" s="66"/>
      <c r="G4" s="70"/>
    </row>
    <row r="5" spans="1:9" s="39" customFormat="1" x14ac:dyDescent="0.25">
      <c r="B5" s="39" t="s">
        <v>138</v>
      </c>
      <c r="F5" s="66"/>
      <c r="G5" s="70"/>
    </row>
    <row r="6" spans="1:9" s="39" customFormat="1" x14ac:dyDescent="0.25">
      <c r="A6" s="39" t="s">
        <v>139</v>
      </c>
      <c r="F6" s="66"/>
      <c r="G6" s="70"/>
    </row>
    <row r="7" spans="1:9" s="39" customFormat="1" x14ac:dyDescent="0.25">
      <c r="B7" s="39" t="s">
        <v>140</v>
      </c>
      <c r="C7" s="39" t="s">
        <v>25</v>
      </c>
      <c r="F7" s="66"/>
      <c r="G7" s="70"/>
    </row>
    <row r="8" spans="1:9" s="39" customFormat="1" x14ac:dyDescent="0.25">
      <c r="C8" s="39" t="s">
        <v>141</v>
      </c>
      <c r="F8" s="66"/>
      <c r="G8" s="70"/>
    </row>
    <row r="9" spans="1:9" s="39" customFormat="1" x14ac:dyDescent="0.25">
      <c r="B9" s="39" t="s">
        <v>142</v>
      </c>
      <c r="C9" s="39" t="s">
        <v>143</v>
      </c>
      <c r="F9" s="66"/>
      <c r="G9" s="70"/>
    </row>
    <row r="10" spans="1:9" s="39" customFormat="1" x14ac:dyDescent="0.25">
      <c r="D10" s="39" t="s">
        <v>144</v>
      </c>
      <c r="F10" s="66"/>
      <c r="G10" s="70"/>
    </row>
    <row r="11" spans="1:9" s="39" customFormat="1" x14ac:dyDescent="0.25">
      <c r="D11" s="39" t="s">
        <v>145</v>
      </c>
      <c r="F11" s="66"/>
      <c r="G11" s="70"/>
      <c r="I11" s="57"/>
    </row>
    <row r="12" spans="1:9" s="39" customFormat="1" x14ac:dyDescent="0.25">
      <c r="D12" s="39" t="s">
        <v>146</v>
      </c>
      <c r="F12" s="66"/>
      <c r="G12" s="70"/>
    </row>
    <row r="13" spans="1:9" x14ac:dyDescent="0.25">
      <c r="G13" s="70"/>
    </row>
    <row r="14" spans="1:9" x14ac:dyDescent="0.25">
      <c r="A14" t="s">
        <v>148</v>
      </c>
      <c r="F14" s="67" t="s">
        <v>151</v>
      </c>
      <c r="G14" s="70"/>
    </row>
    <row r="15" spans="1:9" x14ac:dyDescent="0.25">
      <c r="A15" t="s">
        <v>149</v>
      </c>
      <c r="F15" s="68"/>
      <c r="G15" s="70"/>
    </row>
    <row r="16" spans="1:9" x14ac:dyDescent="0.25">
      <c r="A16" t="s">
        <v>139</v>
      </c>
      <c r="C16" t="s">
        <v>150</v>
      </c>
      <c r="F16" s="69"/>
      <c r="G16" s="70"/>
    </row>
    <row r="18" spans="1:7" x14ac:dyDescent="0.25">
      <c r="A18" t="s">
        <v>153</v>
      </c>
      <c r="G18" s="1" t="s">
        <v>154</v>
      </c>
    </row>
  </sheetData>
  <mergeCells count="3">
    <mergeCell ref="F2:F12"/>
    <mergeCell ref="F14:F16"/>
    <mergeCell ref="G2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50"/>
  <sheetViews>
    <sheetView topLeftCell="B1" zoomScale="85" zoomScaleNormal="85" workbookViewId="0">
      <selection activeCell="L6" sqref="L6"/>
    </sheetView>
  </sheetViews>
  <sheetFormatPr defaultRowHeight="15" x14ac:dyDescent="0.25"/>
  <cols>
    <col min="1" max="1" width="3.7109375" bestFit="1" customWidth="1"/>
    <col min="2" max="2" width="3.28515625" bestFit="1" customWidth="1"/>
    <col min="3" max="3" width="6.85546875" customWidth="1"/>
    <col min="4" max="4" width="12.140625" bestFit="1" customWidth="1"/>
    <col min="5" max="5" width="12.140625" customWidth="1"/>
    <col min="6" max="6" width="13.42578125" customWidth="1"/>
    <col min="7" max="7" width="15" customWidth="1"/>
    <col min="8" max="8" width="22.28515625" bestFit="1" customWidth="1"/>
    <col min="9" max="10" width="15.5703125" customWidth="1"/>
    <col min="11" max="11" width="12.7109375" bestFit="1" customWidth="1"/>
    <col min="12" max="12" width="14.85546875" bestFit="1" customWidth="1"/>
    <col min="13" max="13" width="23" customWidth="1"/>
    <col min="14" max="14" width="13.140625" bestFit="1" customWidth="1"/>
    <col min="16" max="16" width="13.5703125" customWidth="1"/>
    <col min="18" max="18" width="21.5703125" bestFit="1" customWidth="1"/>
    <col min="19" max="19" width="21.42578125" customWidth="1"/>
    <col min="20" max="20" width="12.7109375" customWidth="1"/>
    <col min="21" max="21" width="11.7109375" customWidth="1"/>
  </cols>
  <sheetData>
    <row r="2" spans="2:21" x14ac:dyDescent="0.25">
      <c r="L2" s="37" t="s">
        <v>160</v>
      </c>
    </row>
    <row r="3" spans="2:21" x14ac:dyDescent="0.25">
      <c r="F3" s="3" t="s">
        <v>45</v>
      </c>
      <c r="I3" s="12" t="s">
        <v>42</v>
      </c>
      <c r="J3" s="17"/>
      <c r="L3" s="12">
        <v>1</v>
      </c>
      <c r="M3" s="12">
        <v>2</v>
      </c>
      <c r="N3" s="12">
        <v>3</v>
      </c>
      <c r="R3" s="3" t="s">
        <v>46</v>
      </c>
    </row>
    <row r="4" spans="2:21" x14ac:dyDescent="0.25">
      <c r="C4" t="s">
        <v>172</v>
      </c>
      <c r="F4" s="2" t="s">
        <v>23</v>
      </c>
      <c r="G4" s="33" t="str">
        <f ca="1">OFFSET($K4,0,$G$13)</f>
        <v>равн.деление</v>
      </c>
      <c r="H4" s="2" t="s">
        <v>43</v>
      </c>
      <c r="I4" s="2" t="s">
        <v>44</v>
      </c>
      <c r="J4" s="33" t="s">
        <v>181</v>
      </c>
      <c r="L4" s="12" t="s">
        <v>161</v>
      </c>
      <c r="M4" s="12" t="s">
        <v>162</v>
      </c>
      <c r="N4" s="12" t="s">
        <v>163</v>
      </c>
    </row>
    <row r="5" spans="2:21" x14ac:dyDescent="0.25">
      <c r="C5" t="s">
        <v>173</v>
      </c>
      <c r="D5" s="46">
        <f ca="1">CORREL(D17:D40,E17:E40)</f>
        <v>0.99992506172475559</v>
      </c>
      <c r="F5" s="12">
        <v>0</v>
      </c>
      <c r="G5" s="14">
        <f ca="1">OFFSET($K5,0,$G$13)</f>
        <v>-668440.72563898005</v>
      </c>
      <c r="H5" s="1" t="s">
        <v>180</v>
      </c>
      <c r="I5" s="20">
        <f ca="1">AVERAGEIF($H$17:$H$40,H5,$G$17:$G$40)</f>
        <v>-593570.02164256445</v>
      </c>
      <c r="J5" s="55">
        <f ca="1">COUNTIF($H$17:$H$40,H5) / $B$40</f>
        <v>0.125</v>
      </c>
      <c r="K5" s="39"/>
      <c r="L5" s="14">
        <f ca="1">MIN($G$17:$G$40)</f>
        <v>-668440.72563898005</v>
      </c>
      <c r="M5" s="14">
        <f ca="1">PERCENTILE($G$17:$G$40,F5/$F$9)</f>
        <v>-668440.72563898005</v>
      </c>
      <c r="N5" s="14">
        <f ca="1">MIN($G$17:$G$40)</f>
        <v>-668440.72563898005</v>
      </c>
      <c r="R5" s="43" t="s">
        <v>168</v>
      </c>
      <c r="S5" t="s">
        <v>170</v>
      </c>
    </row>
    <row r="6" spans="2:21" x14ac:dyDescent="0.25">
      <c r="C6" t="s">
        <v>174</v>
      </c>
      <c r="D6" s="47">
        <f ca="1">D5*D5</f>
        <v>0.99985012906525628</v>
      </c>
      <c r="F6" s="12">
        <v>1</v>
      </c>
      <c r="G6" s="14">
        <f t="shared" ref="G6:G9" ca="1" si="0">OFFSET($K6,0,$G$13)</f>
        <v>-318918.14696871815</v>
      </c>
      <c r="H6" s="1" t="s">
        <v>165</v>
      </c>
      <c r="I6" s="20">
        <f t="shared" ref="I6:I8" ca="1" si="1">AVERAGEIF($H$17:$H$40,H6,$G$17:$G$40)</f>
        <v>-177066.25238811743</v>
      </c>
      <c r="J6" s="55">
        <f t="shared" ref="J6:J8" ca="1" si="2">COUNTIF($H$17:$H$40,H6) / $B$40</f>
        <v>0.41666666666666669</v>
      </c>
      <c r="K6" s="39"/>
      <c r="L6" s="14">
        <f ca="1">L5+($L$9-$L$5)*(1/$F$9)</f>
        <v>-318918.14696871815</v>
      </c>
      <c r="M6" s="14">
        <f t="shared" ref="M6:M9" ca="1" si="3">PERCENTILE($G$17:$G$40,F6/$F$9)</f>
        <v>-225696.3412973606</v>
      </c>
      <c r="N6" s="14">
        <v>-747000</v>
      </c>
      <c r="R6" s="15" t="s">
        <v>165</v>
      </c>
      <c r="S6" s="13">
        <v>-146140.3393172845</v>
      </c>
    </row>
    <row r="7" spans="2:21" x14ac:dyDescent="0.25">
      <c r="C7" t="s">
        <v>175</v>
      </c>
      <c r="D7" s="1"/>
      <c r="F7" s="12">
        <v>2</v>
      </c>
      <c r="G7" s="14">
        <f t="shared" ca="1" si="0"/>
        <v>30604.431701543741</v>
      </c>
      <c r="H7" s="1" t="s">
        <v>167</v>
      </c>
      <c r="I7" s="20">
        <f t="shared" ca="1" si="1"/>
        <v>247384.69695849856</v>
      </c>
      <c r="J7" s="55">
        <f t="shared" ca="1" si="2"/>
        <v>0.33333333333333331</v>
      </c>
      <c r="K7" s="39"/>
      <c r="L7" s="14">
        <f t="shared" ref="L7:L8" ca="1" si="4">L6+($L$9-$L$5)*(1/$F$9)</f>
        <v>30604.431701543741</v>
      </c>
      <c r="M7" s="14">
        <f t="shared" ca="1" si="3"/>
        <v>-55709.333174548578</v>
      </c>
      <c r="N7" s="14">
        <v>1377000</v>
      </c>
      <c r="R7" s="15" t="s">
        <v>167</v>
      </c>
      <c r="S7" s="13">
        <v>389045.24711108988</v>
      </c>
    </row>
    <row r="8" spans="2:21" x14ac:dyDescent="0.25">
      <c r="F8" s="12">
        <v>3</v>
      </c>
      <c r="G8" s="14">
        <f t="shared" ca="1" si="0"/>
        <v>380127.01037180563</v>
      </c>
      <c r="H8" s="1" t="s">
        <v>166</v>
      </c>
      <c r="I8" s="20">
        <f t="shared" ca="1" si="1"/>
        <v>524098.33772166196</v>
      </c>
      <c r="J8" s="55">
        <f t="shared" ca="1" si="2"/>
        <v>0.125</v>
      </c>
      <c r="K8" s="39"/>
      <c r="L8" s="14">
        <f t="shared" ca="1" si="4"/>
        <v>380127.01037180563</v>
      </c>
      <c r="M8" s="14">
        <f t="shared" ca="1" si="3"/>
        <v>329209.23921471555</v>
      </c>
      <c r="N8" s="14">
        <v>5386000</v>
      </c>
      <c r="R8" s="15" t="s">
        <v>166</v>
      </c>
      <c r="S8" s="13">
        <v>1196602.7364811972</v>
      </c>
    </row>
    <row r="9" spans="2:21" x14ac:dyDescent="0.25">
      <c r="F9" s="12">
        <v>4</v>
      </c>
      <c r="G9" s="14">
        <f t="shared" ca="1" si="0"/>
        <v>729649.58904206753</v>
      </c>
      <c r="J9" s="56">
        <f ca="1">SUM(J5:J8)</f>
        <v>1</v>
      </c>
      <c r="K9" s="39"/>
      <c r="L9" s="14">
        <f ca="1">MAX($G$17:$G$40)</f>
        <v>729649.58904206753</v>
      </c>
      <c r="M9" s="14">
        <f t="shared" ca="1" si="3"/>
        <v>729649.58904206753</v>
      </c>
      <c r="N9" s="14">
        <f ca="1">MAX($G$17:$G$40)</f>
        <v>729649.58904206753</v>
      </c>
      <c r="R9" s="15" t="s">
        <v>180</v>
      </c>
      <c r="S9" s="13">
        <v>-877244.61756248586</v>
      </c>
    </row>
    <row r="10" spans="2:21" x14ac:dyDescent="0.25">
      <c r="L10" s="15"/>
      <c r="M10" s="16"/>
      <c r="R10" s="15" t="s">
        <v>169</v>
      </c>
      <c r="S10" s="44">
        <v>-2.0566706856091819E-9</v>
      </c>
    </row>
    <row r="11" spans="2:21" x14ac:dyDescent="0.25">
      <c r="B11" s="37" t="s">
        <v>156</v>
      </c>
      <c r="G11" s="13"/>
      <c r="J11" s="3" t="s">
        <v>47</v>
      </c>
      <c r="L11" s="15"/>
      <c r="M11" s="16"/>
    </row>
    <row r="12" spans="2:21" ht="30" x14ac:dyDescent="0.25">
      <c r="C12" s="4" t="s">
        <v>157</v>
      </c>
      <c r="F12" s="38" t="s">
        <v>158</v>
      </c>
      <c r="G12" s="38" t="s">
        <v>164</v>
      </c>
      <c r="J12" s="41" t="s">
        <v>23</v>
      </c>
      <c r="K12" s="42">
        <v>4</v>
      </c>
      <c r="L12" s="42">
        <v>3</v>
      </c>
      <c r="M12" s="42">
        <v>2</v>
      </c>
      <c r="N12" s="42">
        <v>1</v>
      </c>
    </row>
    <row r="13" spans="2:21" x14ac:dyDescent="0.25">
      <c r="C13" s="32">
        <v>2002</v>
      </c>
      <c r="F13" s="36">
        <v>7</v>
      </c>
      <c r="G13" s="36">
        <v>1</v>
      </c>
      <c r="J13" s="40" t="s">
        <v>42</v>
      </c>
      <c r="K13" s="20">
        <f ca="1">INDEX(LINEST($G$17:$G$40,$K$17:$N$40,0),K12)</f>
        <v>-593570.02164256445</v>
      </c>
      <c r="L13" s="20">
        <f ca="1">INDEX(LINEST($G$17:$G$40,$K$17:$N$40,0),L12)</f>
        <v>-177066.2523881174</v>
      </c>
      <c r="M13" s="20">
        <f ca="1">INDEX(LINEST($G$17:$G$40,$K$17:$N$40,0),M12)</f>
        <v>247384.69695849856</v>
      </c>
      <c r="N13" s="20">
        <f ca="1">INDEX(LINEST($G$17:$G$40,$K$17:$N$40,0),N12)</f>
        <v>524098.3377216619</v>
      </c>
      <c r="R13" s="49" t="s">
        <v>177</v>
      </c>
    </row>
    <row r="14" spans="2:21" x14ac:dyDescent="0.25">
      <c r="I14" s="18"/>
      <c r="J14" s="18"/>
      <c r="K14" s="18"/>
      <c r="L14" s="18"/>
      <c r="M14" s="18"/>
      <c r="N14" s="18"/>
      <c r="R14" s="49" t="s">
        <v>178</v>
      </c>
    </row>
    <row r="15" spans="2:21" x14ac:dyDescent="0.25">
      <c r="B15" s="2" t="s">
        <v>0</v>
      </c>
      <c r="C15" s="2"/>
      <c r="D15" s="2" t="s">
        <v>1</v>
      </c>
      <c r="E15" s="33" t="s">
        <v>136</v>
      </c>
      <c r="F15" s="2" t="s">
        <v>24</v>
      </c>
      <c r="G15" s="2" t="s">
        <v>49</v>
      </c>
      <c r="H15" s="2" t="s">
        <v>22</v>
      </c>
      <c r="K15" s="8" t="s">
        <v>37</v>
      </c>
      <c r="L15" s="8" t="s">
        <v>38</v>
      </c>
      <c r="M15" s="8" t="s">
        <v>50</v>
      </c>
      <c r="N15" s="8" t="s">
        <v>51</v>
      </c>
      <c r="P15" s="48" t="s">
        <v>176</v>
      </c>
      <c r="R15" s="49" t="s">
        <v>179</v>
      </c>
    </row>
    <row r="16" spans="2:21" ht="17.25" customHeight="1" x14ac:dyDescent="0.25">
      <c r="B16" s="7" t="s">
        <v>23</v>
      </c>
      <c r="C16" s="7" t="s">
        <v>4</v>
      </c>
      <c r="D16" s="8" t="s">
        <v>155</v>
      </c>
      <c r="E16" s="8" t="s">
        <v>171</v>
      </c>
      <c r="F16" s="8" t="s">
        <v>159</v>
      </c>
      <c r="G16" s="8" t="s">
        <v>40</v>
      </c>
      <c r="H16" s="8" t="s">
        <v>41</v>
      </c>
      <c r="K16" s="8" t="str">
        <f t="array" ref="K16:N16">TRANSPOSE(H5:H8)</f>
        <v>S1 - эпический провал</v>
      </c>
      <c r="L16" s="8" t="str">
        <v>S2 - скорее хуже</v>
      </c>
      <c r="M16" s="8" t="str">
        <v>S3 - по тренду</v>
      </c>
      <c r="N16" s="8" t="str">
        <v>S4 - знач.лучше</v>
      </c>
      <c r="P16" s="8" t="s">
        <v>40</v>
      </c>
      <c r="T16" s="76" t="str">
        <f>G12</f>
        <v>Способ K</v>
      </c>
      <c r="U16" s="77"/>
    </row>
    <row r="17" spans="1:22" ht="15" customHeight="1" x14ac:dyDescent="0.25">
      <c r="A17" s="71" t="s">
        <v>25</v>
      </c>
      <c r="B17" s="1">
        <v>1</v>
      </c>
      <c r="C17" s="6" t="s">
        <v>5</v>
      </c>
      <c r="D17" s="10">
        <v>1523670.1312683504</v>
      </c>
      <c r="E17" s="10">
        <f ca="1">F17+SUMPRODUCT(K17:N17,$K$13:$N$13)</f>
        <v>1525542.9027459673</v>
      </c>
      <c r="F17" s="10">
        <f t="array" aca="1" ref="F17" ca="1">TREND($D$17:$D$40,$B$17:$B$40^TRANSPOSE($B$17:OFFSET($B$16,$F$13,0)),B17^TRANSPOSE($B$17:OFFSET($B$16,$F$13,0)))</f>
        <v>1702609.1551340846</v>
      </c>
      <c r="G17" s="14">
        <f ca="1">D17-F17</f>
        <v>-178939.02386573423</v>
      </c>
      <c r="H17" s="1" t="str">
        <f ca="1">VLOOKUP(G17,$G$5:$H$8,2)</f>
        <v>S2 - скорее хуже</v>
      </c>
      <c r="K17" s="12">
        <f ca="1">IF($H17 = K$16, 1,0)</f>
        <v>0</v>
      </c>
      <c r="L17" s="12">
        <f t="shared" ref="L17:N32" ca="1" si="5">IF($H17 = L$16, 1,0)</f>
        <v>1</v>
      </c>
      <c r="M17" s="12">
        <f t="shared" ca="1" si="5"/>
        <v>0</v>
      </c>
      <c r="N17" s="12">
        <f t="shared" ca="1" si="5"/>
        <v>0</v>
      </c>
      <c r="P17" s="14">
        <f ca="1">SMALL($G$17:$G$40,B17)</f>
        <v>-668440.72563898005</v>
      </c>
      <c r="S17" s="47">
        <f ca="1">D6</f>
        <v>0.99985012906525628</v>
      </c>
      <c r="T17" s="12">
        <v>1</v>
      </c>
      <c r="U17" s="12">
        <v>2</v>
      </c>
      <c r="V17" s="50">
        <v>3</v>
      </c>
    </row>
    <row r="18" spans="1:22" x14ac:dyDescent="0.25">
      <c r="A18" s="72"/>
      <c r="B18" s="1">
        <v>2</v>
      </c>
      <c r="C18" s="1" t="s">
        <v>6</v>
      </c>
      <c r="D18" s="10">
        <v>1899714.2822209885</v>
      </c>
      <c r="E18" s="10">
        <f t="shared" ref="E18:E40" ca="1" si="6">F18+SUMPRODUCT(K18:N18,$K$13:$N$13)</f>
        <v>1786957.9578764276</v>
      </c>
      <c r="F18" s="10">
        <f t="array" aca="1" ref="F18" ca="1">TREND($D$17:$D$40,$B$17:$B$40^TRANSPOSE($B$17:OFFSET($B$16,$F$13,0)),B18^TRANSPOSE($B$17:OFFSET($B$16,$F$13,0)))</f>
        <v>1539573.260917929</v>
      </c>
      <c r="G18" s="14">
        <f t="shared" ref="G18:G40" ca="1" si="7">D18-F18</f>
        <v>360141.02130305953</v>
      </c>
      <c r="H18" s="1" t="str">
        <f t="shared" ref="H18:H40" ca="1" si="8">VLOOKUP(G18,$G$5:$H$8,2)</f>
        <v>S3 - по тренду</v>
      </c>
      <c r="K18" s="12">
        <f t="shared" ref="K18:N40" ca="1" si="9">IF($H18 = K$16, 1,0)</f>
        <v>0</v>
      </c>
      <c r="L18" s="12">
        <f t="shared" ca="1" si="5"/>
        <v>0</v>
      </c>
      <c r="M18" s="12">
        <f t="shared" ca="1" si="5"/>
        <v>1</v>
      </c>
      <c r="N18" s="12">
        <f t="shared" ca="1" si="5"/>
        <v>0</v>
      </c>
      <c r="P18" s="14">
        <f t="shared" ref="P18:P40" ca="1" si="10">SMALL($G$17:$G$40,B18)</f>
        <v>-649411.96207573451</v>
      </c>
      <c r="R18" s="75" t="str">
        <f>F12</f>
        <v>степень полинома</v>
      </c>
      <c r="S18" s="1">
        <v>1</v>
      </c>
      <c r="T18" s="51">
        <f t="dataTable" ref="T18:U24" dt2D="1" dtr="1" r1="G13" r2="F13" ca="1"/>
        <v>0.98942279149699242</v>
      </c>
      <c r="U18" s="52">
        <v>0.97885665300375801</v>
      </c>
    </row>
    <row r="19" spans="1:22" x14ac:dyDescent="0.25">
      <c r="A19" s="72"/>
      <c r="B19" s="1">
        <v>3</v>
      </c>
      <c r="C19" s="1" t="s">
        <v>7</v>
      </c>
      <c r="D19" s="10">
        <v>2271976.8034374709</v>
      </c>
      <c r="E19" s="10">
        <f t="shared" ca="1" si="6"/>
        <v>2425715.1130456245</v>
      </c>
      <c r="F19" s="10">
        <f t="array" aca="1" ref="F19" ca="1">TREND($D$17:$D$40,$B$17:$B$40^TRANSPOSE($B$17:OFFSET($B$16,$F$13,0)),B19^TRANSPOSE($B$17:OFFSET($B$16,$F$13,0)))</f>
        <v>2178330.4160871259</v>
      </c>
      <c r="G19" s="14">
        <f t="shared" ca="1" si="7"/>
        <v>93646.38735034503</v>
      </c>
      <c r="H19" s="1" t="str">
        <f t="shared" ca="1" si="8"/>
        <v>S3 - по тренду</v>
      </c>
      <c r="K19" s="12">
        <f t="shared" ca="1" si="9"/>
        <v>0</v>
      </c>
      <c r="L19" s="12">
        <f t="shared" ca="1" si="5"/>
        <v>0</v>
      </c>
      <c r="M19" s="12">
        <f t="shared" ca="1" si="5"/>
        <v>1</v>
      </c>
      <c r="N19" s="12">
        <f t="shared" ca="1" si="5"/>
        <v>0</v>
      </c>
      <c r="P19" s="14">
        <f t="shared" ca="1" si="10"/>
        <v>-462857.3772129789</v>
      </c>
      <c r="R19" s="75"/>
      <c r="S19" s="1">
        <v>2</v>
      </c>
      <c r="T19" s="51">
        <v>0.99569347590783153</v>
      </c>
      <c r="U19" s="52">
        <v>0.99238987180888361</v>
      </c>
    </row>
    <row r="20" spans="1:22" x14ac:dyDescent="0.25">
      <c r="A20" s="72"/>
      <c r="B20" s="1">
        <v>4</v>
      </c>
      <c r="C20" s="1" t="s">
        <v>8</v>
      </c>
      <c r="D20" s="10">
        <v>2745199.6299384595</v>
      </c>
      <c r="E20" s="10">
        <f t="shared" ca="1" si="6"/>
        <v>2810410.5097405268</v>
      </c>
      <c r="F20" s="10">
        <f t="array" aca="1" ref="F20" ca="1">TREND($D$17:$D$40,$B$17:$B$40^TRANSPOSE($B$17:OFFSET($B$16,$F$13,0)),B20^TRANSPOSE($B$17:OFFSET($B$16,$F$13,0)))</f>
        <v>2987476.7621286442</v>
      </c>
      <c r="G20" s="14">
        <f t="shared" ca="1" si="7"/>
        <v>-242277.13219018467</v>
      </c>
      <c r="H20" s="1" t="str">
        <f t="shared" ca="1" si="8"/>
        <v>S2 - скорее хуже</v>
      </c>
      <c r="K20" s="12">
        <f t="shared" ca="1" si="9"/>
        <v>0</v>
      </c>
      <c r="L20" s="12">
        <f t="shared" ca="1" si="5"/>
        <v>1</v>
      </c>
      <c r="M20" s="12">
        <f t="shared" ca="1" si="5"/>
        <v>0</v>
      </c>
      <c r="N20" s="12">
        <f t="shared" ca="1" si="5"/>
        <v>0</v>
      </c>
      <c r="P20" s="14">
        <f t="shared" ca="1" si="10"/>
        <v>-281035.21580841392</v>
      </c>
      <c r="R20" s="75"/>
      <c r="S20" s="1">
        <v>3</v>
      </c>
      <c r="T20" s="51">
        <v>0.99886632866773528</v>
      </c>
      <c r="U20" s="52">
        <v>0.99825921594196132</v>
      </c>
    </row>
    <row r="21" spans="1:22" x14ac:dyDescent="0.25">
      <c r="A21" s="72"/>
      <c r="B21" s="1">
        <v>5</v>
      </c>
      <c r="C21" s="1" t="s">
        <v>9</v>
      </c>
      <c r="D21" s="10">
        <v>3476075.5445336094</v>
      </c>
      <c r="E21" s="10">
        <f t="shared" ca="1" si="6"/>
        <v>3548481.5681025945</v>
      </c>
      <c r="F21" s="10">
        <f t="array" aca="1" ref="F21" ca="1">TREND($D$17:$D$40,$B$17:$B$40^TRANSPOSE($B$17:OFFSET($B$16,$F$13,0)),B21^TRANSPOSE($B$17:OFFSET($B$16,$F$13,0)))</f>
        <v>3725547.8204907118</v>
      </c>
      <c r="G21" s="14">
        <f t="shared" ca="1" si="7"/>
        <v>-249472.27595710242</v>
      </c>
      <c r="H21" s="1" t="str">
        <f t="shared" ca="1" si="8"/>
        <v>S2 - скорее хуже</v>
      </c>
      <c r="K21" s="12">
        <f t="shared" ca="1" si="9"/>
        <v>0</v>
      </c>
      <c r="L21" s="12">
        <f t="shared" ca="1" si="5"/>
        <v>1</v>
      </c>
      <c r="M21" s="12">
        <f t="shared" ca="1" si="5"/>
        <v>0</v>
      </c>
      <c r="N21" s="12">
        <f t="shared" ca="1" si="5"/>
        <v>0</v>
      </c>
      <c r="P21" s="14">
        <f t="shared" ca="1" si="10"/>
        <v>-249472.27595710242</v>
      </c>
      <c r="R21" s="75"/>
      <c r="S21" s="1">
        <v>4</v>
      </c>
      <c r="T21" s="51">
        <v>0.99947806893632907</v>
      </c>
      <c r="U21" s="52">
        <v>0.99941744001636845</v>
      </c>
    </row>
    <row r="22" spans="1:22" x14ac:dyDescent="0.25">
      <c r="A22" s="72"/>
      <c r="B22" s="1">
        <v>6</v>
      </c>
      <c r="C22" s="1" t="s">
        <v>10</v>
      </c>
      <c r="D22" s="10">
        <v>4183589.0473623835</v>
      </c>
      <c r="E22" s="10">
        <f t="shared" ca="1" si="6"/>
        <v>4194965.0796160111</v>
      </c>
      <c r="F22" s="10">
        <f t="array" aca="1" ref="F22" ca="1">TREND($D$17:$D$40,$B$17:$B$40^TRANSPOSE($B$17:OFFSET($B$16,$F$13,0)),B22^TRANSPOSE($B$17:OFFSET($B$16,$F$13,0)))</f>
        <v>4372031.332004129</v>
      </c>
      <c r="G22" s="14">
        <f t="shared" ca="1" si="7"/>
        <v>-188442.2846417455</v>
      </c>
      <c r="H22" s="1" t="str">
        <f t="shared" ca="1" si="8"/>
        <v>S2 - скорее хуже</v>
      </c>
      <c r="K22" s="12">
        <f t="shared" ca="1" si="9"/>
        <v>0</v>
      </c>
      <c r="L22" s="12">
        <f t="shared" ca="1" si="5"/>
        <v>1</v>
      </c>
      <c r="M22" s="12">
        <f t="shared" ca="1" si="5"/>
        <v>0</v>
      </c>
      <c r="N22" s="12">
        <f t="shared" ca="1" si="5"/>
        <v>0</v>
      </c>
      <c r="P22" s="14">
        <f t="shared" ca="1" si="10"/>
        <v>-242277.13219018467</v>
      </c>
      <c r="R22" s="75"/>
      <c r="S22" s="1">
        <v>5</v>
      </c>
      <c r="T22" s="51">
        <v>0.99949425372735601</v>
      </c>
      <c r="U22" s="52">
        <v>0.99927058504850652</v>
      </c>
    </row>
    <row r="23" spans="1:22" x14ac:dyDescent="0.25">
      <c r="A23" s="72"/>
      <c r="B23" s="1">
        <v>7</v>
      </c>
      <c r="C23" s="1" t="s">
        <v>11</v>
      </c>
      <c r="D23" s="10">
        <v>5380452.4239379605</v>
      </c>
      <c r="E23" s="10">
        <f t="shared" ca="1" si="6"/>
        <v>5251545.5113361888</v>
      </c>
      <c r="F23" s="10">
        <f t="array" aca="1" ref="F23" ca="1">TREND($D$17:$D$40,$B$17:$B$40^TRANSPOSE($B$17:OFFSET($B$16,$F$13,0)),B23^TRANSPOSE($B$17:OFFSET($B$16,$F$13,0)))</f>
        <v>5004160.8143776907</v>
      </c>
      <c r="G23" s="14">
        <f t="shared" ca="1" si="7"/>
        <v>376291.60956026986</v>
      </c>
      <c r="H23" s="1" t="str">
        <f t="shared" ca="1" si="8"/>
        <v>S3 - по тренду</v>
      </c>
      <c r="K23" s="12">
        <f t="shared" ca="1" si="9"/>
        <v>0</v>
      </c>
      <c r="L23" s="12">
        <f t="shared" ca="1" si="5"/>
        <v>0</v>
      </c>
      <c r="M23" s="12">
        <f t="shared" ca="1" si="5"/>
        <v>1</v>
      </c>
      <c r="N23" s="12">
        <f t="shared" ca="1" si="5"/>
        <v>0</v>
      </c>
      <c r="P23" s="14">
        <f t="shared" ca="1" si="10"/>
        <v>-220169.41099975258</v>
      </c>
      <c r="R23" s="75"/>
      <c r="S23" s="1">
        <v>6</v>
      </c>
      <c r="T23" s="51">
        <v>0.9997204079705555</v>
      </c>
      <c r="U23" s="52">
        <v>0.99967786017594895</v>
      </c>
    </row>
    <row r="24" spans="1:22" x14ac:dyDescent="0.25">
      <c r="A24" s="72"/>
      <c r="B24" s="1">
        <v>8</v>
      </c>
      <c r="C24" s="1" t="s">
        <v>12</v>
      </c>
      <c r="D24" s="10">
        <v>5857652.2365358304</v>
      </c>
      <c r="E24" s="10">
        <f t="shared" ca="1" si="6"/>
        <v>5961008.9193364289</v>
      </c>
      <c r="F24" s="10">
        <f t="array" aca="1" ref="F24" ca="1">TREND($D$17:$D$40,$B$17:$B$40^TRANSPOSE($B$17:OFFSET($B$16,$F$13,0)),B24^TRANSPOSE($B$17:OFFSET($B$16,$F$13,0)))</f>
        <v>5713624.2223779298</v>
      </c>
      <c r="G24" s="14">
        <f t="shared" ca="1" si="7"/>
        <v>144028.01415790059</v>
      </c>
      <c r="H24" s="1" t="str">
        <f t="shared" ca="1" si="8"/>
        <v>S3 - по тренду</v>
      </c>
      <c r="K24" s="12">
        <f t="shared" ca="1" si="9"/>
        <v>0</v>
      </c>
      <c r="L24" s="12">
        <f t="shared" ca="1" si="5"/>
        <v>0</v>
      </c>
      <c r="M24" s="12">
        <f t="shared" ca="1" si="5"/>
        <v>1</v>
      </c>
      <c r="N24" s="12">
        <f t="shared" ca="1" si="5"/>
        <v>0</v>
      </c>
      <c r="P24" s="14">
        <f t="shared" ca="1" si="10"/>
        <v>-210842.3871458061</v>
      </c>
      <c r="R24" s="75"/>
      <c r="S24" s="1">
        <v>7</v>
      </c>
      <c r="T24" s="53">
        <v>0.99985012906525628</v>
      </c>
      <c r="U24" s="54">
        <v>0.99975967715021552</v>
      </c>
    </row>
    <row r="25" spans="1:22" x14ac:dyDescent="0.25">
      <c r="A25" s="72"/>
      <c r="B25" s="1">
        <v>9</v>
      </c>
      <c r="C25" s="1" t="s">
        <v>13</v>
      </c>
      <c r="D25" s="10">
        <v>6511019.5831007604</v>
      </c>
      <c r="E25" s="10">
        <f t="shared" ca="1" si="6"/>
        <v>6380255.8429166609</v>
      </c>
      <c r="F25" s="10">
        <f t="array" aca="1" ref="F25" ca="1">TREND($D$17:$D$40,$B$17:$B$40^TRANSPOSE($B$17:OFFSET($B$16,$F$13,0)),B25^TRANSPOSE($B$17:OFFSET($B$16,$F$13,0)))</f>
        <v>6557322.0953047788</v>
      </c>
      <c r="G25" s="14">
        <f t="shared" ca="1" si="7"/>
        <v>-46302.512204018421</v>
      </c>
      <c r="H25" s="1" t="str">
        <f t="shared" ca="1" si="8"/>
        <v>S2 - скорее хуже</v>
      </c>
      <c r="K25" s="12">
        <f t="shared" ca="1" si="9"/>
        <v>0</v>
      </c>
      <c r="L25" s="12">
        <f t="shared" ca="1" si="5"/>
        <v>1</v>
      </c>
      <c r="M25" s="12">
        <f t="shared" ca="1" si="5"/>
        <v>0</v>
      </c>
      <c r="N25" s="12">
        <f t="shared" ca="1" si="5"/>
        <v>0</v>
      </c>
      <c r="P25" s="14">
        <f t="shared" ca="1" si="10"/>
        <v>-188442.2846417455</v>
      </c>
    </row>
    <row r="26" spans="1:22" x14ac:dyDescent="0.25">
      <c r="A26" s="72"/>
      <c r="B26" s="1">
        <v>10</v>
      </c>
      <c r="C26" s="1" t="s">
        <v>14</v>
      </c>
      <c r="D26" s="10">
        <v>7448243.4494492188</v>
      </c>
      <c r="E26" s="10">
        <f t="shared" ca="1" si="6"/>
        <v>7359243.3239844386</v>
      </c>
      <c r="F26" s="10">
        <f t="array" aca="1" ref="F26" ca="1">TREND($D$17:$D$40,$B$17:$B$40^TRANSPOSE($B$17:OFFSET($B$16,$F$13,0)),B26^TRANSPOSE($B$17:OFFSET($B$16,$F$13,0)))</f>
        <v>7536309.5763725564</v>
      </c>
      <c r="G26" s="14">
        <f t="shared" ca="1" si="7"/>
        <v>-88066.126923337579</v>
      </c>
      <c r="H26" s="1" t="str">
        <f t="shared" ca="1" si="8"/>
        <v>S2 - скорее хуже</v>
      </c>
      <c r="K26" s="12">
        <f t="shared" ca="1" si="9"/>
        <v>0</v>
      </c>
      <c r="L26" s="12">
        <f t="shared" ca="1" si="5"/>
        <v>1</v>
      </c>
      <c r="M26" s="12">
        <f t="shared" ca="1" si="5"/>
        <v>0</v>
      </c>
      <c r="N26" s="12">
        <f t="shared" ca="1" si="5"/>
        <v>0</v>
      </c>
      <c r="P26" s="14">
        <f t="shared" ca="1" si="10"/>
        <v>-178939.02386573423</v>
      </c>
    </row>
    <row r="27" spans="1:22" x14ac:dyDescent="0.25">
      <c r="A27" s="72"/>
      <c r="B27" s="1">
        <v>11</v>
      </c>
      <c r="C27" s="1" t="s">
        <v>15</v>
      </c>
      <c r="D27" s="10">
        <v>8915955.3337932099</v>
      </c>
      <c r="E27" s="10">
        <f t="shared" ca="1" si="6"/>
        <v>8844441.3855664413</v>
      </c>
      <c r="F27" s="10">
        <f t="array" aca="1" ref="F27" ca="1">TREND($D$17:$D$40,$B$17:$B$40^TRANSPOSE($B$17:OFFSET($B$16,$F$13,0)),B27^TRANSPOSE($B$17:OFFSET($B$16,$F$13,0)))</f>
        <v>8597056.6886079423</v>
      </c>
      <c r="G27" s="14">
        <f t="shared" ca="1" si="7"/>
        <v>318898.64518526755</v>
      </c>
      <c r="H27" s="1" t="str">
        <f t="shared" ca="1" si="8"/>
        <v>S3 - по тренду</v>
      </c>
      <c r="K27" s="12">
        <f t="shared" ca="1" si="9"/>
        <v>0</v>
      </c>
      <c r="L27" s="12">
        <f t="shared" ca="1" si="5"/>
        <v>0</v>
      </c>
      <c r="M27" s="12">
        <f t="shared" ca="1" si="5"/>
        <v>1</v>
      </c>
      <c r="N27" s="12">
        <f t="shared" ca="1" si="5"/>
        <v>0</v>
      </c>
      <c r="P27" s="14">
        <f t="shared" ca="1" si="10"/>
        <v>-88066.126923337579</v>
      </c>
    </row>
    <row r="28" spans="1:22" x14ac:dyDescent="0.25">
      <c r="A28" s="72"/>
      <c r="B28" s="1">
        <v>12</v>
      </c>
      <c r="C28" s="1" t="s">
        <v>16</v>
      </c>
      <c r="D28" s="10">
        <v>10017461.84195617</v>
      </c>
      <c r="E28" s="10">
        <f t="shared" ca="1" si="6"/>
        <v>9896545.9488336314</v>
      </c>
      <c r="F28" s="10">
        <f t="array" aca="1" ref="F28" ca="1">TREND($D$17:$D$40,$B$17:$B$40^TRANSPOSE($B$17:OFFSET($B$16,$F$13,0)),B28^TRANSPOSE($B$17:OFFSET($B$16,$F$13,0)))</f>
        <v>9649161.2518751323</v>
      </c>
      <c r="G28" s="14">
        <f t="shared" ca="1" si="7"/>
        <v>368300.59008103795</v>
      </c>
      <c r="H28" s="1" t="str">
        <f t="shared" ca="1" si="8"/>
        <v>S3 - по тренду</v>
      </c>
      <c r="K28" s="12">
        <f t="shared" ca="1" si="9"/>
        <v>0</v>
      </c>
      <c r="L28" s="12">
        <f t="shared" ca="1" si="5"/>
        <v>0</v>
      </c>
      <c r="M28" s="12">
        <f t="shared" ca="1" si="5"/>
        <v>1</v>
      </c>
      <c r="N28" s="12">
        <f t="shared" ca="1" si="5"/>
        <v>0</v>
      </c>
      <c r="P28" s="14">
        <f t="shared" ca="1" si="10"/>
        <v>-65116.154145078734</v>
      </c>
    </row>
    <row r="29" spans="1:22" x14ac:dyDescent="0.25">
      <c r="A29" s="72"/>
      <c r="B29" s="1">
        <v>13</v>
      </c>
      <c r="C29" s="1" t="s">
        <v>17</v>
      </c>
      <c r="D29" s="10">
        <v>9925208.0999999996</v>
      </c>
      <c r="E29" s="10">
        <f t="shared" ca="1" si="6"/>
        <v>10000078.803996416</v>
      </c>
      <c r="F29" s="10">
        <f t="array" aca="1" ref="F29" ca="1">TREND($D$17:$D$40,$B$17:$B$40^TRANSPOSE($B$17:OFFSET($B$16,$F$13,0)),B29^TRANSPOSE($B$17:OFFSET($B$16,$F$13,0)))</f>
        <v>10593648.82563898</v>
      </c>
      <c r="G29" s="14">
        <f t="shared" ca="1" si="7"/>
        <v>-668440.72563898005</v>
      </c>
      <c r="H29" s="1" t="str">
        <f t="shared" ca="1" si="8"/>
        <v>S1 - эпический провал</v>
      </c>
      <c r="K29" s="12">
        <f t="shared" ca="1" si="9"/>
        <v>1</v>
      </c>
      <c r="L29" s="12">
        <f t="shared" ca="1" si="5"/>
        <v>0</v>
      </c>
      <c r="M29" s="12">
        <f t="shared" ca="1" si="5"/>
        <v>0</v>
      </c>
      <c r="N29" s="12">
        <f t="shared" ca="1" si="5"/>
        <v>0</v>
      </c>
      <c r="P29" s="14">
        <f t="shared" ca="1" si="10"/>
        <v>-46302.512204018421</v>
      </c>
    </row>
    <row r="30" spans="1:22" x14ac:dyDescent="0.25">
      <c r="A30" s="72"/>
      <c r="B30" s="1">
        <v>14</v>
      </c>
      <c r="C30" s="1" t="s">
        <v>18</v>
      </c>
      <c r="D30" s="10">
        <v>10706582.1</v>
      </c>
      <c r="E30" s="10">
        <f t="shared" ca="1" si="6"/>
        <v>10762424.04043317</v>
      </c>
      <c r="F30" s="10">
        <f t="array" aca="1" ref="F30" ca="1">TREND($D$17:$D$40,$B$17:$B$40^TRANSPOSE($B$17:OFFSET($B$16,$F$13,0)),B30^TRANSPOSE($B$17:OFFSET($B$16,$F$13,0)))</f>
        <v>11355994.062075734</v>
      </c>
      <c r="G30" s="14">
        <f t="shared" ca="1" si="7"/>
        <v>-649411.96207573451</v>
      </c>
      <c r="H30" s="1" t="str">
        <f t="shared" ca="1" si="8"/>
        <v>S1 - эпический провал</v>
      </c>
      <c r="K30" s="12">
        <f t="shared" ca="1" si="9"/>
        <v>1</v>
      </c>
      <c r="L30" s="12">
        <f t="shared" ca="1" si="5"/>
        <v>0</v>
      </c>
      <c r="M30" s="12">
        <f t="shared" ca="1" si="5"/>
        <v>0</v>
      </c>
      <c r="N30" s="12">
        <f t="shared" ca="1" si="5"/>
        <v>0</v>
      </c>
      <c r="P30" s="14">
        <f t="shared" ca="1" si="10"/>
        <v>93646.38735034503</v>
      </c>
    </row>
    <row r="31" spans="1:22" x14ac:dyDescent="0.25">
      <c r="A31" s="72"/>
      <c r="B31" s="1">
        <v>15</v>
      </c>
      <c r="C31" s="1" t="s">
        <v>19</v>
      </c>
      <c r="D31" s="10">
        <v>11852881.700000001</v>
      </c>
      <c r="E31" s="10">
        <f t="shared" ca="1" si="6"/>
        <v>11740931.601756962</v>
      </c>
      <c r="F31" s="10">
        <f t="array" aca="1" ref="F31" ca="1">TREND($D$17:$D$40,$B$17:$B$40^TRANSPOSE($B$17:OFFSET($B$16,$F$13,0)),B31^TRANSPOSE($B$17:OFFSET($B$16,$F$13,0)))</f>
        <v>11917997.85414508</v>
      </c>
      <c r="G31" s="14">
        <f t="shared" ca="1" si="7"/>
        <v>-65116.154145078734</v>
      </c>
      <c r="H31" s="1" t="str">
        <f t="shared" ca="1" si="8"/>
        <v>S2 - скорее хуже</v>
      </c>
      <c r="K31" s="12">
        <f t="shared" ca="1" si="9"/>
        <v>0</v>
      </c>
      <c r="L31" s="12">
        <f t="shared" ca="1" si="5"/>
        <v>1</v>
      </c>
      <c r="M31" s="12">
        <f t="shared" ca="1" si="5"/>
        <v>0</v>
      </c>
      <c r="N31" s="12">
        <f t="shared" ca="1" si="5"/>
        <v>0</v>
      </c>
      <c r="P31" s="14">
        <f t="shared" ca="1" si="10"/>
        <v>124188.58018794097</v>
      </c>
    </row>
    <row r="32" spans="1:22" x14ac:dyDescent="0.25">
      <c r="A32" s="72"/>
      <c r="B32" s="1">
        <v>16</v>
      </c>
      <c r="C32" s="1" t="s">
        <v>20</v>
      </c>
      <c r="D32" s="10">
        <v>12766002.800000001</v>
      </c>
      <c r="E32" s="10">
        <f t="shared" ca="1" si="6"/>
        <v>12866753.000951903</v>
      </c>
      <c r="F32" s="10">
        <f t="array" aca="1" ref="F32" ca="1">TREND($D$17:$D$40,$B$17:$B$40^TRANSPOSE($B$17:OFFSET($B$16,$F$13,0)),B32^TRANSPOSE($B$17:OFFSET($B$16,$F$13,0)))</f>
        <v>12342654.66323024</v>
      </c>
      <c r="G32" s="14">
        <f t="shared" ca="1" si="7"/>
        <v>423348.1367697604</v>
      </c>
      <c r="H32" s="1" t="str">
        <f t="shared" ca="1" si="8"/>
        <v>S4 - знач.лучше</v>
      </c>
      <c r="K32" s="12">
        <f t="shared" ca="1" si="9"/>
        <v>0</v>
      </c>
      <c r="L32" s="12">
        <f t="shared" ca="1" si="5"/>
        <v>0</v>
      </c>
      <c r="M32" s="12">
        <f t="shared" ca="1" si="5"/>
        <v>0</v>
      </c>
      <c r="N32" s="12">
        <f t="shared" ca="1" si="5"/>
        <v>1</v>
      </c>
      <c r="P32" s="14">
        <f t="shared" ca="1" si="10"/>
        <v>144028.01415790059</v>
      </c>
    </row>
    <row r="33" spans="1:16" x14ac:dyDescent="0.25">
      <c r="A33" s="72"/>
      <c r="B33" s="1">
        <v>17</v>
      </c>
      <c r="C33" s="1" t="s">
        <v>21</v>
      </c>
      <c r="D33" s="10">
        <v>13515794</v>
      </c>
      <c r="E33" s="10">
        <f t="shared" ca="1" si="6"/>
        <v>13310242.748679595</v>
      </c>
      <c r="F33" s="10">
        <f t="array" aca="1" ref="F33" ca="1">TREND($D$17:$D$40,$B$17:$B$40^TRANSPOSE($B$17:OFFSET($B$16,$F$13,0)),B33^TRANSPOSE($B$17:OFFSET($B$16,$F$13,0)))</f>
        <v>12786144.410957932</v>
      </c>
      <c r="G33" s="14">
        <f t="shared" ca="1" si="7"/>
        <v>729649.58904206753</v>
      </c>
      <c r="H33" s="1" t="str">
        <f t="shared" ca="1" si="8"/>
        <v>S4 - знач.лучше</v>
      </c>
      <c r="K33" s="12">
        <f t="shared" ca="1" si="9"/>
        <v>0</v>
      </c>
      <c r="L33" s="12">
        <f t="shared" ca="1" si="9"/>
        <v>0</v>
      </c>
      <c r="M33" s="12">
        <f t="shared" ca="1" si="9"/>
        <v>0</v>
      </c>
      <c r="N33" s="12">
        <f t="shared" ca="1" si="9"/>
        <v>1</v>
      </c>
      <c r="P33" s="14">
        <f t="shared" ca="1" si="10"/>
        <v>193582.72784216702</v>
      </c>
    </row>
    <row r="34" spans="1:16" x14ac:dyDescent="0.25">
      <c r="A34" s="72"/>
      <c r="B34" s="1">
        <v>18</v>
      </c>
      <c r="C34" s="1" t="s">
        <v>26</v>
      </c>
      <c r="D34" s="10">
        <v>13615271.9</v>
      </c>
      <c r="E34" s="10">
        <f t="shared" ca="1" si="6"/>
        <v>13738468.016770558</v>
      </c>
      <c r="F34" s="10">
        <f t="array" aca="1" ref="F34" ca="1">TREND($D$17:$D$40,$B$17:$B$40^TRANSPOSE($B$17:OFFSET($B$16,$F$13,0)),B34^TRANSPOSE($B$17:OFFSET($B$16,$F$13,0)))</f>
        <v>13491083.319812059</v>
      </c>
      <c r="G34" s="14">
        <f t="shared" ca="1" si="7"/>
        <v>124188.58018794097</v>
      </c>
      <c r="H34" s="1" t="str">
        <f t="shared" ca="1" si="8"/>
        <v>S3 - по тренду</v>
      </c>
      <c r="K34" s="12">
        <f t="shared" ca="1" si="9"/>
        <v>0</v>
      </c>
      <c r="L34" s="12">
        <f t="shared" ca="1" si="9"/>
        <v>0</v>
      </c>
      <c r="M34" s="12">
        <f t="shared" ca="1" si="9"/>
        <v>1</v>
      </c>
      <c r="N34" s="12">
        <f t="shared" ca="1" si="9"/>
        <v>0</v>
      </c>
      <c r="P34" s="14">
        <f t="shared" ca="1" si="10"/>
        <v>318898.64518526755</v>
      </c>
    </row>
    <row r="35" spans="1:16" x14ac:dyDescent="0.25">
      <c r="A35" s="72"/>
      <c r="B35" s="1">
        <v>19</v>
      </c>
      <c r="C35" s="1" t="s">
        <v>27</v>
      </c>
      <c r="D35" s="10">
        <v>14544325.699999999</v>
      </c>
      <c r="E35" s="10">
        <f t="shared" ca="1" si="6"/>
        <v>14578101.834757688</v>
      </c>
      <c r="F35" s="10">
        <f t="array" aca="1" ref="F35" ca="1">TREND($D$17:$D$40,$B$17:$B$40^TRANSPOSE($B$17:OFFSET($B$16,$F$13,0)),B35^TRANSPOSE($B$17:OFFSET($B$16,$F$13,0)))</f>
        <v>14755168.087145805</v>
      </c>
      <c r="G35" s="14">
        <f t="shared" ca="1" si="7"/>
        <v>-210842.3871458061</v>
      </c>
      <c r="H35" s="1" t="str">
        <f t="shared" ca="1" si="8"/>
        <v>S2 - скорее хуже</v>
      </c>
      <c r="K35" s="12">
        <f t="shared" ca="1" si="9"/>
        <v>0</v>
      </c>
      <c r="L35" s="12">
        <f t="shared" ca="1" si="9"/>
        <v>1</v>
      </c>
      <c r="M35" s="12">
        <f t="shared" ca="1" si="9"/>
        <v>0</v>
      </c>
      <c r="N35" s="12">
        <f t="shared" ca="1" si="9"/>
        <v>0</v>
      </c>
      <c r="P35" s="14">
        <f t="shared" ca="1" si="10"/>
        <v>360141.02130305953</v>
      </c>
    </row>
    <row r="36" spans="1:16" x14ac:dyDescent="0.25">
      <c r="A36" s="72"/>
      <c r="B36" s="1">
        <v>20</v>
      </c>
      <c r="C36" s="1" t="s">
        <v>28</v>
      </c>
      <c r="D36" s="10">
        <v>16406490.399999999</v>
      </c>
      <c r="E36" s="10">
        <f t="shared" ca="1" si="6"/>
        <v>16275777.755570414</v>
      </c>
      <c r="F36" s="10">
        <f t="array" aca="1" ref="F36" ca="1">TREND($D$17:$D$40,$B$17:$B$40^TRANSPOSE($B$17:OFFSET($B$16,$F$13,0)),B36^TRANSPOSE($B$17:OFFSET($B$16,$F$13,0)))</f>
        <v>16869347.777212977</v>
      </c>
      <c r="G36" s="14">
        <f t="shared" ca="1" si="7"/>
        <v>-462857.3772129789</v>
      </c>
      <c r="H36" s="1" t="str">
        <f t="shared" ca="1" si="8"/>
        <v>S1 - эпический провал</v>
      </c>
      <c r="K36" s="12">
        <f t="shared" ca="1" si="9"/>
        <v>1</v>
      </c>
      <c r="L36" s="12">
        <f t="shared" ca="1" si="9"/>
        <v>0</v>
      </c>
      <c r="M36" s="12">
        <f t="shared" ca="1" si="9"/>
        <v>0</v>
      </c>
      <c r="N36" s="12">
        <f t="shared" ca="1" si="9"/>
        <v>0</v>
      </c>
      <c r="P36" s="14">
        <f t="shared" ca="1" si="10"/>
        <v>368300.59008103795</v>
      </c>
    </row>
    <row r="37" spans="1:16" x14ac:dyDescent="0.25">
      <c r="A37" s="72"/>
      <c r="B37" s="1">
        <v>21</v>
      </c>
      <c r="C37" s="1" t="s">
        <v>29</v>
      </c>
      <c r="D37" s="10">
        <v>19738622.600000001</v>
      </c>
      <c r="E37" s="10">
        <f t="shared" ca="1" si="6"/>
        <v>19842591.563420299</v>
      </c>
      <c r="F37" s="10">
        <f t="array" aca="1" ref="F37" ca="1">TREND($D$17:$D$40,$B$17:$B$40^TRANSPOSE($B$17:OFFSET($B$16,$F$13,0)),B37^TRANSPOSE($B$17:OFFSET($B$16,$F$13,0)))</f>
        <v>20019657.815808415</v>
      </c>
      <c r="G37" s="14">
        <f t="shared" ca="1" si="7"/>
        <v>-281035.21580841392</v>
      </c>
      <c r="H37" s="1" t="str">
        <f t="shared" ca="1" si="8"/>
        <v>S2 - скорее хуже</v>
      </c>
      <c r="K37" s="12">
        <f t="shared" ca="1" si="9"/>
        <v>0</v>
      </c>
      <c r="L37" s="12">
        <f t="shared" ca="1" si="9"/>
        <v>1</v>
      </c>
      <c r="M37" s="12">
        <f t="shared" ca="1" si="9"/>
        <v>0</v>
      </c>
      <c r="N37" s="12">
        <f t="shared" ca="1" si="9"/>
        <v>0</v>
      </c>
      <c r="P37" s="14">
        <f t="shared" ca="1" si="10"/>
        <v>376291.60956026986</v>
      </c>
    </row>
    <row r="38" spans="1:16" ht="15" customHeight="1" x14ac:dyDescent="0.25">
      <c r="A38" s="72"/>
      <c r="B38" s="1">
        <v>22</v>
      </c>
      <c r="C38" s="1" t="s">
        <v>30</v>
      </c>
      <c r="D38" s="10">
        <v>24340433.200000003</v>
      </c>
      <c r="E38" s="10">
        <f t="shared" ca="1" si="6"/>
        <v>24394235.169116333</v>
      </c>
      <c r="F38" s="10">
        <f t="array" aca="1" ref="F38" ca="1">TREND($D$17:$D$40,$B$17:$B$40^TRANSPOSE($B$17:OFFSET($B$16,$F$13,0)),B38^TRANSPOSE($B$17:OFFSET($B$16,$F$13,0)))</f>
        <v>24146850.472157836</v>
      </c>
      <c r="G38" s="14">
        <f t="shared" ca="1" si="7"/>
        <v>193582.72784216702</v>
      </c>
      <c r="H38" s="1" t="str">
        <f t="shared" ca="1" si="8"/>
        <v>S3 - по тренду</v>
      </c>
      <c r="K38" s="12">
        <f t="shared" ca="1" si="9"/>
        <v>0</v>
      </c>
      <c r="L38" s="12">
        <f t="shared" ca="1" si="9"/>
        <v>0</v>
      </c>
      <c r="M38" s="12">
        <f t="shared" ca="1" si="9"/>
        <v>1</v>
      </c>
      <c r="N38" s="12">
        <f t="shared" ca="1" si="9"/>
        <v>0</v>
      </c>
      <c r="P38" s="14">
        <f t="shared" ca="1" si="10"/>
        <v>419297.287353158</v>
      </c>
    </row>
    <row r="39" spans="1:16" x14ac:dyDescent="0.25">
      <c r="A39" s="73"/>
      <c r="B39" s="1">
        <v>23</v>
      </c>
      <c r="C39" s="1" t="s">
        <v>31</v>
      </c>
      <c r="D39" s="10">
        <v>29177253.5</v>
      </c>
      <c r="E39" s="10">
        <f t="shared" ca="1" si="6"/>
        <v>29282054.550368503</v>
      </c>
      <c r="F39" s="10">
        <f t="array" aca="1" ref="F39" ca="1">TREND($D$17:$D$40,$B$17:$B$40^TRANSPOSE($B$17:OFFSET($B$16,$F$13,0)),B39^TRANSPOSE($B$17:OFFSET($B$16,$F$13,0)))</f>
        <v>28757956.212646842</v>
      </c>
      <c r="G39" s="14">
        <f t="shared" ca="1" si="7"/>
        <v>419297.287353158</v>
      </c>
      <c r="H39" s="1" t="str">
        <f t="shared" ca="1" si="8"/>
        <v>S4 - знач.лучше</v>
      </c>
      <c r="K39" s="12">
        <f t="shared" ca="1" si="9"/>
        <v>0</v>
      </c>
      <c r="L39" s="12">
        <f t="shared" ca="1" si="9"/>
        <v>0</v>
      </c>
      <c r="M39" s="12">
        <f t="shared" ca="1" si="9"/>
        <v>0</v>
      </c>
      <c r="N39" s="12">
        <f t="shared" ca="1" si="9"/>
        <v>1</v>
      </c>
      <c r="P39" s="14">
        <f t="shared" ca="1" si="10"/>
        <v>423348.1367697604</v>
      </c>
    </row>
    <row r="40" spans="1:16" x14ac:dyDescent="0.25">
      <c r="A40" s="31"/>
      <c r="B40" s="1">
        <v>24</v>
      </c>
      <c r="C40" s="1" t="s">
        <v>32</v>
      </c>
      <c r="D40" s="10">
        <v>32463740.899999999</v>
      </c>
      <c r="E40" s="10">
        <f t="shared" ca="1" si="6"/>
        <v>32506844.058611635</v>
      </c>
      <c r="F40" s="10">
        <f t="array" aca="1" ref="F40" ca="1">TREND($D$17:$D$40,$B$17:$B$40^TRANSPOSE($B$17:OFFSET($B$16,$F$13,0)),B40^TRANSPOSE($B$17:OFFSET($B$16,$F$13,0)))</f>
        <v>32683910.310999751</v>
      </c>
      <c r="G40" s="14">
        <f t="shared" ca="1" si="7"/>
        <v>-220169.41099975258</v>
      </c>
      <c r="H40" s="1" t="str">
        <f t="shared" ca="1" si="8"/>
        <v>S2 - скорее хуже</v>
      </c>
      <c r="K40" s="12">
        <f t="shared" ca="1" si="9"/>
        <v>0</v>
      </c>
      <c r="L40" s="12">
        <f t="shared" ca="1" si="9"/>
        <v>1</v>
      </c>
      <c r="M40" s="12">
        <f t="shared" ca="1" si="9"/>
        <v>0</v>
      </c>
      <c r="N40" s="12">
        <f t="shared" ca="1" si="9"/>
        <v>0</v>
      </c>
      <c r="P40" s="14">
        <f t="shared" ca="1" si="10"/>
        <v>729649.58904206753</v>
      </c>
    </row>
    <row r="41" spans="1:16" x14ac:dyDescent="0.25">
      <c r="A41" s="74" t="s">
        <v>36</v>
      </c>
      <c r="B41" s="1">
        <v>25</v>
      </c>
      <c r="C41" s="1" t="s">
        <v>33</v>
      </c>
      <c r="D41" s="11"/>
      <c r="E41" s="45"/>
      <c r="F41" s="10">
        <f t="array" aca="1" ref="F41" ca="1">TREND($D$17:$D$40,$B$17:$B$40^TRANSPOSE($B$17:OFFSET($B$16,$F$13,0)),B41^TRANSPOSE($B$17:OFFSET($B$16,$F$13,0)))</f>
        <v>33777379.099522471</v>
      </c>
      <c r="H41" s="39"/>
    </row>
    <row r="42" spans="1:16" ht="15" customHeight="1" x14ac:dyDescent="0.25">
      <c r="A42" s="74"/>
      <c r="B42" s="1">
        <v>26</v>
      </c>
      <c r="C42" s="1" t="s">
        <v>34</v>
      </c>
      <c r="D42" s="11"/>
      <c r="E42" s="45"/>
      <c r="F42" s="10">
        <f t="array" aca="1" ref="F42" ca="1">TREND($D$17:$D$40,$B$17:$B$40^TRANSPOSE($B$17:OFFSET($B$16,$F$13,0)),B42^TRANSPOSE($B$17:OFFSET($B$16,$F$13,0)))</f>
        <v>28544920.246035457</v>
      </c>
      <c r="H42" s="39"/>
    </row>
    <row r="43" spans="1:16" ht="15" customHeight="1" x14ac:dyDescent="0.25">
      <c r="A43" s="74"/>
      <c r="B43" s="1">
        <v>27</v>
      </c>
      <c r="C43" s="1" t="s">
        <v>35</v>
      </c>
      <c r="D43" s="11"/>
      <c r="E43" s="45"/>
      <c r="F43" s="10">
        <f t="array" aca="1" ref="F43" ca="1">TREND($D$17:$D$40,$B$17:$B$40^TRANSPOSE($B$17:OFFSET($B$16,$F$13,0)),B43^TRANSPOSE($B$17:OFFSET($B$16,$F$13,0)))</f>
        <v>11707611.441082835</v>
      </c>
      <c r="H43" s="39"/>
    </row>
    <row r="44" spans="1:16" ht="15" customHeight="1" x14ac:dyDescent="0.25">
      <c r="A44" s="74"/>
      <c r="B44" s="1">
        <v>28</v>
      </c>
      <c r="C44" s="1" t="s">
        <v>125</v>
      </c>
      <c r="D44" s="11"/>
      <c r="E44" s="45"/>
      <c r="F44" s="10">
        <f t="array" aca="1" ref="F44" ca="1">TREND($D$17:$D$40,$B$17:$B$40^TRANSPOSE($B$17:OFFSET($B$16,$F$13,0)),B44^TRANSPOSE($B$17:OFFSET($B$16,$F$13,0)))</f>
        <v>-24315718.119958043</v>
      </c>
      <c r="H44" s="39"/>
    </row>
    <row r="45" spans="1:16" ht="15" customHeight="1" x14ac:dyDescent="0.25">
      <c r="A45" s="74"/>
      <c r="B45" s="1">
        <v>29</v>
      </c>
      <c r="C45" s="1" t="s">
        <v>126</v>
      </c>
      <c r="D45" s="11"/>
      <c r="E45" s="45"/>
      <c r="F45" s="10">
        <f t="array" aca="1" ref="F45" ca="1">TREND($D$17:$D$40,$B$17:$B$40^TRANSPOSE($B$17:OFFSET($B$16,$F$13,0)),B45^TRANSPOSE($B$17:OFFSET($B$16,$F$13,0)))</f>
        <v>-90008519.075253606</v>
      </c>
      <c r="H45" s="39"/>
    </row>
    <row r="46" spans="1:16" x14ac:dyDescent="0.25">
      <c r="A46" s="74"/>
      <c r="B46" s="1">
        <v>30</v>
      </c>
      <c r="C46" s="1" t="s">
        <v>127</v>
      </c>
      <c r="D46" s="11"/>
      <c r="E46" s="45"/>
      <c r="F46" s="10">
        <f t="array" aca="1" ref="F46" ca="1">TREND($D$17:$D$40,$B$17:$B$40^TRANSPOSE($B$17:OFFSET($B$16,$F$13,0)),B46^TRANSPOSE($B$17:OFFSET($B$16,$F$13,0)))</f>
        <v>-199445681.6708194</v>
      </c>
      <c r="H46" s="39"/>
    </row>
    <row r="47" spans="1:16" x14ac:dyDescent="0.25">
      <c r="A47" s="74"/>
      <c r="B47" s="1">
        <v>31</v>
      </c>
      <c r="C47" s="1" t="s">
        <v>129</v>
      </c>
      <c r="D47" s="11"/>
      <c r="E47" s="45"/>
      <c r="F47" s="10">
        <f t="array" aca="1" ref="F47" ca="1">TREND($D$17:$D$40,$B$17:$B$40^TRANSPOSE($B$17:OFFSET($B$16,$F$13,0)),B47^TRANSPOSE($B$17:OFFSET($B$16,$F$13,0)))</f>
        <v>-371077689.58596528</v>
      </c>
      <c r="H47" s="39"/>
    </row>
    <row r="48" spans="1:16" x14ac:dyDescent="0.25">
      <c r="A48" s="74"/>
      <c r="B48" s="1">
        <v>32</v>
      </c>
      <c r="C48" s="1" t="s">
        <v>130</v>
      </c>
      <c r="D48" s="11"/>
      <c r="E48" s="45"/>
      <c r="F48" s="10">
        <f t="array" aca="1" ref="F48" ca="1">TREND($D$17:$D$40,$B$17:$B$40^TRANSPOSE($B$17:OFFSET($B$16,$F$13,0)),B48^TRANSPOSE($B$17:OFFSET($B$16,$F$13,0)))</f>
        <v>-628615633.42559159</v>
      </c>
      <c r="H48" s="39"/>
    </row>
    <row r="49" spans="1:8" x14ac:dyDescent="0.25">
      <c r="A49" s="74"/>
      <c r="B49" s="1">
        <v>33</v>
      </c>
      <c r="C49" s="1" t="s">
        <v>131</v>
      </c>
      <c r="D49" s="11"/>
      <c r="E49" s="45"/>
      <c r="F49" s="10">
        <f t="array" aca="1" ref="F49" ca="1">TREND($D$17:$D$40,$B$17:$B$40^TRANSPOSE($B$17:OFFSET($B$16,$F$13,0)),B49^TRANSPOSE($B$17:OFFSET($B$16,$F$13,0)))</f>
        <v>-1002022949.494363</v>
      </c>
      <c r="H49" s="39"/>
    </row>
    <row r="50" spans="1:8" x14ac:dyDescent="0.25">
      <c r="A50" s="74"/>
      <c r="B50" s="1">
        <v>34</v>
      </c>
      <c r="C50" s="1" t="s">
        <v>133</v>
      </c>
      <c r="D50" s="11"/>
      <c r="E50" s="45"/>
      <c r="F50" s="10">
        <f t="array" aca="1" ref="F50" ca="1">TREND($D$17:$D$40,$B$17:$B$40^TRANSPOSE($B$17:OFFSET($B$16,$F$13,0)),B50^TRANSPOSE($B$17:OFFSET($B$16,$F$13,0)))</f>
        <v>-1528619749.4684305</v>
      </c>
      <c r="H50" s="39"/>
    </row>
  </sheetData>
  <mergeCells count="4">
    <mergeCell ref="A17:A39"/>
    <mergeCell ref="A41:A50"/>
    <mergeCell ref="R18:R24"/>
    <mergeCell ref="T16:U16"/>
  </mergeCells>
  <conditionalFormatting sqref="K17:N40">
    <cfRule type="colorScale" priority="2">
      <colorScale>
        <cfvo type="min"/>
        <cfvo type="max"/>
        <color rgb="FFFCFCFF"/>
        <color rgb="FF63BE7B"/>
      </colorScale>
    </cfRule>
  </conditionalFormatting>
  <conditionalFormatting sqref="T18:U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autoPict="0">
                <anchor moveWithCells="1" sizeWithCells="1">
                  <from>
                    <xdr:col>5</xdr:col>
                    <xdr:colOff>695325</xdr:colOff>
                    <xdr:row>11</xdr:row>
                    <xdr:rowOff>257175</xdr:rowOff>
                  </from>
                  <to>
                    <xdr:col>5</xdr:col>
                    <xdr:colOff>800100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Spinner 2">
              <controlPr defaultSize="0" autoPict="0">
                <anchor moveWithCells="1" sizeWithCells="1">
                  <from>
                    <xdr:col>6</xdr:col>
                    <xdr:colOff>762000</xdr:colOff>
                    <xdr:row>11</xdr:row>
                    <xdr:rowOff>247650</xdr:rowOff>
                  </from>
                  <to>
                    <xdr:col>6</xdr:col>
                    <xdr:colOff>895350</xdr:colOff>
                    <xdr:row>13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50"/>
  <sheetViews>
    <sheetView zoomScale="70" zoomScaleNormal="70" workbookViewId="0">
      <selection activeCell="L6" sqref="L6"/>
    </sheetView>
  </sheetViews>
  <sheetFormatPr defaultRowHeight="15" x14ac:dyDescent="0.25"/>
  <cols>
    <col min="1" max="1" width="3.7109375" bestFit="1" customWidth="1"/>
    <col min="2" max="2" width="3.28515625" bestFit="1" customWidth="1"/>
    <col min="3" max="3" width="6.85546875" customWidth="1"/>
    <col min="4" max="4" width="12.140625" bestFit="1" customWidth="1"/>
    <col min="5" max="5" width="13.7109375" customWidth="1"/>
    <col min="6" max="6" width="13.42578125" customWidth="1"/>
    <col min="7" max="7" width="15" customWidth="1"/>
    <col min="8" max="8" width="22.28515625" bestFit="1" customWidth="1"/>
    <col min="9" max="10" width="15.5703125" customWidth="1"/>
    <col min="11" max="11" width="12.7109375" bestFit="1" customWidth="1"/>
    <col min="12" max="12" width="14.85546875" bestFit="1" customWidth="1"/>
    <col min="13" max="13" width="23" customWidth="1"/>
    <col min="14" max="14" width="13.140625" bestFit="1" customWidth="1"/>
    <col min="16" max="16" width="13.5703125" customWidth="1"/>
    <col min="18" max="18" width="17.85546875" customWidth="1"/>
    <col min="19" max="19" width="21.42578125" customWidth="1"/>
    <col min="20" max="20" width="12.7109375" customWidth="1"/>
    <col min="21" max="21" width="11.7109375" customWidth="1"/>
  </cols>
  <sheetData>
    <row r="2" spans="2:21" x14ac:dyDescent="0.25">
      <c r="L2" s="37" t="s">
        <v>160</v>
      </c>
    </row>
    <row r="3" spans="2:21" x14ac:dyDescent="0.25">
      <c r="F3" s="3" t="s">
        <v>45</v>
      </c>
      <c r="I3" s="12" t="s">
        <v>42</v>
      </c>
      <c r="J3" s="17"/>
      <c r="L3" s="12">
        <v>1</v>
      </c>
      <c r="M3" s="12">
        <v>2</v>
      </c>
      <c r="N3" s="12">
        <v>3</v>
      </c>
    </row>
    <row r="4" spans="2:21" x14ac:dyDescent="0.25">
      <c r="C4" t="s">
        <v>172</v>
      </c>
      <c r="F4" s="33" t="s">
        <v>23</v>
      </c>
      <c r="G4" s="33" t="str">
        <f ca="1">OFFSET($K4,0,$G$13)</f>
        <v>равн.наполнение</v>
      </c>
      <c r="H4" s="33" t="s">
        <v>43</v>
      </c>
      <c r="I4" s="33" t="s">
        <v>44</v>
      </c>
      <c r="J4" s="33" t="s">
        <v>181</v>
      </c>
      <c r="L4" s="12" t="s">
        <v>161</v>
      </c>
      <c r="M4" s="12" t="s">
        <v>162</v>
      </c>
      <c r="N4" s="12" t="s">
        <v>163</v>
      </c>
    </row>
    <row r="5" spans="2:21" x14ac:dyDescent="0.25">
      <c r="C5" t="s">
        <v>173</v>
      </c>
      <c r="D5" s="46">
        <f ca="1">CORREL(D17:D40,E17:E40)</f>
        <v>0.9918491553058234</v>
      </c>
      <c r="F5" s="12">
        <v>0</v>
      </c>
      <c r="G5" s="14">
        <f ca="1">OFFSET($K5,0,$G$13)</f>
        <v>-3587013.609948393</v>
      </c>
      <c r="H5" s="1" t="s">
        <v>183</v>
      </c>
      <c r="I5" s="20">
        <f ca="1">AVERAGEIF($H$17:$H$40,H5,$G$17:$G$40)</f>
        <v>1066440.0313278511</v>
      </c>
      <c r="J5" s="55">
        <f ca="1">COUNTIF($H$17:$H$40,H5)/($B$40-$H$13)</f>
        <v>6.25E-2</v>
      </c>
      <c r="K5" s="39"/>
      <c r="L5" s="14">
        <f ca="1">MIN($G$17:$G$40)</f>
        <v>-3587013.609948393</v>
      </c>
      <c r="M5" s="14">
        <f ca="1">PERCENTILE($G$17:$G$40,F5/$F$9)</f>
        <v>-3587013.609948393</v>
      </c>
      <c r="N5" s="14"/>
    </row>
    <row r="6" spans="2:21" x14ac:dyDescent="0.25">
      <c r="C6" t="s">
        <v>174</v>
      </c>
      <c r="D6" s="47">
        <f ca="1">D5*D5</f>
        <v>0.98376474688087534</v>
      </c>
      <c r="F6" s="12">
        <v>1</v>
      </c>
      <c r="G6" s="14">
        <f t="shared" ref="G6:G9" ca="1" si="0">OFFSET($K6,0,$G$13)</f>
        <v>-1040545.6723184673</v>
      </c>
      <c r="H6" s="1" t="s">
        <v>165</v>
      </c>
      <c r="I6" s="20">
        <f t="shared" ref="I6:I8" ca="1" si="1">AVERAGEIF($H$17:$H$40,H6,$G$17:$G$40)</f>
        <v>2094282.9083503925</v>
      </c>
      <c r="J6" s="55">
        <f t="shared" ref="J6:J8" ca="1" si="2">COUNTIF($H$17:$H$40,H6)/($B$40-$H$13)</f>
        <v>0.375</v>
      </c>
      <c r="K6" s="39"/>
      <c r="L6" s="14">
        <f ca="1">L5+($L$9-$L$5)*(1/$F$9)</f>
        <v>-1687776.9029501667</v>
      </c>
      <c r="M6" s="14">
        <f t="shared" ref="M6:M9" ca="1" si="3">PERCENTILE($G$17:$G$40,F6/$F$9)</f>
        <v>-1040545.6723184673</v>
      </c>
      <c r="N6" s="14"/>
    </row>
    <row r="7" spans="2:21" x14ac:dyDescent="0.25">
      <c r="C7" t="s">
        <v>175</v>
      </c>
      <c r="D7" s="1"/>
      <c r="F7" s="12">
        <v>2</v>
      </c>
      <c r="G7" s="14">
        <f t="shared" ca="1" si="0"/>
        <v>190066.32738178922</v>
      </c>
      <c r="H7" s="1" t="s">
        <v>167</v>
      </c>
      <c r="I7" s="20">
        <f t="shared" ca="1" si="1"/>
        <v>-659787.29677862744</v>
      </c>
      <c r="J7" s="55">
        <f t="shared" ca="1" si="2"/>
        <v>0.3125</v>
      </c>
      <c r="K7" s="39"/>
      <c r="L7" s="14">
        <f t="shared" ref="L7:L8" ca="1" si="4">L6+($L$9-$L$5)*(1/$F$9)</f>
        <v>211459.80404805951</v>
      </c>
      <c r="M7" s="14">
        <f t="shared" ca="1" si="3"/>
        <v>190066.32738178922</v>
      </c>
      <c r="N7" s="14"/>
    </row>
    <row r="8" spans="2:21" x14ac:dyDescent="0.25">
      <c r="F8" s="12">
        <v>3</v>
      </c>
      <c r="G8" s="14">
        <f t="shared" ca="1" si="0"/>
        <v>1123590.8877307125</v>
      </c>
      <c r="H8" s="1" t="s">
        <v>166</v>
      </c>
      <c r="I8" s="20">
        <f t="shared" ca="1" si="1"/>
        <v>-2466121.0863167574</v>
      </c>
      <c r="J8" s="55">
        <f t="shared" ca="1" si="2"/>
        <v>0.25</v>
      </c>
      <c r="K8" s="39"/>
      <c r="L8" s="14">
        <f t="shared" ca="1" si="4"/>
        <v>2110696.5110462857</v>
      </c>
      <c r="M8" s="14">
        <f t="shared" ca="1" si="3"/>
        <v>1123590.8877307125</v>
      </c>
      <c r="N8" s="14"/>
    </row>
    <row r="9" spans="2:21" x14ac:dyDescent="0.25">
      <c r="F9" s="12">
        <v>4</v>
      </c>
      <c r="G9" s="14">
        <f t="shared" ca="1" si="0"/>
        <v>4009933.218044512</v>
      </c>
      <c r="J9" s="56">
        <f ca="1">SUM(J5:J8)</f>
        <v>1</v>
      </c>
      <c r="K9" s="39"/>
      <c r="L9" s="14">
        <f ca="1">MAX($G$17:$G$40)</f>
        <v>4009933.218044512</v>
      </c>
      <c r="M9" s="14">
        <f t="shared" ca="1" si="3"/>
        <v>4009933.218044512</v>
      </c>
      <c r="N9" s="14"/>
    </row>
    <row r="10" spans="2:21" x14ac:dyDescent="0.25">
      <c r="L10" s="15"/>
      <c r="M10" s="16"/>
    </row>
    <row r="11" spans="2:21" x14ac:dyDescent="0.25">
      <c r="B11" s="37" t="s">
        <v>156</v>
      </c>
      <c r="G11" s="13"/>
      <c r="J11" s="3" t="s">
        <v>47</v>
      </c>
      <c r="L11" s="15"/>
      <c r="M11" s="16"/>
    </row>
    <row r="12" spans="2:21" ht="30" x14ac:dyDescent="0.25">
      <c r="C12" s="4" t="s">
        <v>157</v>
      </c>
      <c r="F12" s="58" t="s">
        <v>158</v>
      </c>
      <c r="G12" s="58" t="s">
        <v>164</v>
      </c>
      <c r="H12" s="59" t="s">
        <v>182</v>
      </c>
      <c r="J12" s="41" t="s">
        <v>23</v>
      </c>
      <c r="K12" s="42">
        <v>4</v>
      </c>
      <c r="L12" s="42">
        <v>3</v>
      </c>
      <c r="M12" s="42">
        <v>2</v>
      </c>
      <c r="N12" s="42">
        <v>1</v>
      </c>
    </row>
    <row r="13" spans="2:21" x14ac:dyDescent="0.25">
      <c r="C13" s="32">
        <v>2002</v>
      </c>
      <c r="F13" s="60">
        <v>2</v>
      </c>
      <c r="G13" s="36">
        <v>2</v>
      </c>
      <c r="H13" s="36">
        <v>8</v>
      </c>
      <c r="J13" s="40" t="s">
        <v>42</v>
      </c>
      <c r="K13" s="20">
        <f ca="1">INDEX(LINEST($G$17:$G$40,$K$17:$N$40,0),K12)</f>
        <v>1066440.0313278511</v>
      </c>
      <c r="L13" s="20">
        <f ca="1">INDEX(LINEST($G$17:$G$40,$K$17:$N$40,0),L12)</f>
        <v>2094282.9083503925</v>
      </c>
      <c r="M13" s="20">
        <f ca="1">INDEX(LINEST($G$17:$G$40,$K$17:$N$40,0),M12)</f>
        <v>-659787.29677862744</v>
      </c>
      <c r="N13" s="20">
        <f ca="1">INDEX(LINEST($G$17:$G$40,$K$17:$N$40,0),N12)</f>
        <v>-2466121.0863167574</v>
      </c>
      <c r="R13" s="49" t="s">
        <v>177</v>
      </c>
    </row>
    <row r="14" spans="2:21" x14ac:dyDescent="0.25">
      <c r="I14" s="18"/>
      <c r="J14" s="18"/>
      <c r="K14" s="18"/>
      <c r="L14" s="18"/>
      <c r="M14" s="18"/>
      <c r="N14" s="18"/>
      <c r="R14" s="49" t="s">
        <v>178</v>
      </c>
    </row>
    <row r="15" spans="2:21" x14ac:dyDescent="0.25">
      <c r="B15" s="33" t="s">
        <v>0</v>
      </c>
      <c r="C15" s="33"/>
      <c r="D15" s="33" t="s">
        <v>1</v>
      </c>
      <c r="E15" s="33" t="s">
        <v>136</v>
      </c>
      <c r="F15" s="33" t="s">
        <v>24</v>
      </c>
      <c r="G15" s="33" t="s">
        <v>49</v>
      </c>
      <c r="H15" s="33" t="s">
        <v>22</v>
      </c>
      <c r="K15" s="8" t="s">
        <v>37</v>
      </c>
      <c r="L15" s="8" t="s">
        <v>38</v>
      </c>
      <c r="M15" s="8" t="s">
        <v>50</v>
      </c>
      <c r="N15" s="8" t="s">
        <v>51</v>
      </c>
      <c r="R15" s="49" t="s">
        <v>179</v>
      </c>
    </row>
    <row r="16" spans="2:21" ht="17.25" customHeight="1" x14ac:dyDescent="0.25">
      <c r="B16" s="7" t="s">
        <v>23</v>
      </c>
      <c r="C16" s="7" t="s">
        <v>4</v>
      </c>
      <c r="D16" s="8" t="s">
        <v>155</v>
      </c>
      <c r="E16" s="8" t="s">
        <v>171</v>
      </c>
      <c r="F16" s="8" t="s">
        <v>159</v>
      </c>
      <c r="G16" s="8" t="s">
        <v>40</v>
      </c>
      <c r="H16" s="8" t="str">
        <f>"Ситуация "&amp;H13&amp;" лет назад"</f>
        <v>Ситуация 8 лет назад</v>
      </c>
      <c r="K16" s="8" t="str">
        <f t="array" ref="K16:N16">TRANSPOSE(H5:H8)</f>
        <v>S1 - сильно хуже</v>
      </c>
      <c r="L16" s="8" t="str">
        <v>S2 - скорее хуже</v>
      </c>
      <c r="M16" s="8" t="str">
        <v>S3 - по тренду</v>
      </c>
      <c r="N16" s="8" t="str">
        <v>S4 - знач.лучше</v>
      </c>
      <c r="T16" s="76" t="str">
        <f>G12</f>
        <v>Способ K</v>
      </c>
      <c r="U16" s="77"/>
    </row>
    <row r="17" spans="1:22" ht="15" customHeight="1" x14ac:dyDescent="0.25">
      <c r="A17" s="71" t="s">
        <v>25</v>
      </c>
      <c r="B17" s="1">
        <v>1</v>
      </c>
      <c r="C17" s="6" t="s">
        <v>5</v>
      </c>
      <c r="D17" s="10">
        <v>1523670.1312683504</v>
      </c>
      <c r="E17" s="10">
        <f ca="1">F17+SUMPRODUCT(K17:N17,$K$13:$N$13)</f>
        <v>2935021.6516376813</v>
      </c>
      <c r="F17" s="10">
        <f t="array" aca="1" ref="F17" ca="1">TREND($D$17:$D$40,$B$17:$B$40^TRANSPOSE($B$17:OFFSET($B$16,$F$13,0)),B17^TRANSPOSE($B$17:OFFSET($B$16,$F$13,0)))</f>
        <v>2935021.6516376813</v>
      </c>
      <c r="G17" s="14">
        <f ca="1">D17-F17</f>
        <v>-1411351.5203693309</v>
      </c>
      <c r="H17" s="1" t="str">
        <f ca="1">IF(AND(B17&gt;$H$13, B17&lt;=$B$40+$H$13   ), VLOOKUP(OFFSET(G17, -$H$13,0),$G$5:$H$8,2),"")</f>
        <v/>
      </c>
      <c r="K17" s="12">
        <f ca="1">IF($H17 = K$16, 1,0)</f>
        <v>0</v>
      </c>
      <c r="L17" s="12">
        <f t="shared" ref="L17:N32" ca="1" si="5">IF($H17 = L$16, 1,0)</f>
        <v>0</v>
      </c>
      <c r="M17" s="12">
        <f t="shared" ca="1" si="5"/>
        <v>0</v>
      </c>
      <c r="N17" s="12">
        <f t="shared" ca="1" si="5"/>
        <v>0</v>
      </c>
      <c r="S17" s="47">
        <f ca="1">D6</f>
        <v>0.98376474688087534</v>
      </c>
      <c r="T17" s="12">
        <v>1</v>
      </c>
      <c r="U17" s="12">
        <v>2</v>
      </c>
      <c r="V17" s="50">
        <v>3</v>
      </c>
    </row>
    <row r="18" spans="1:22" x14ac:dyDescent="0.25">
      <c r="A18" s="72"/>
      <c r="B18" s="1">
        <v>2</v>
      </c>
      <c r="C18" s="1" t="s">
        <v>6</v>
      </c>
      <c r="D18" s="10">
        <v>1899714.2822209885</v>
      </c>
      <c r="E18" s="10">
        <f t="shared" ref="E18:E50" ca="1" si="6">F18+SUMPRODUCT(K18:N18,$K$13:$N$13)</f>
        <v>2877334.7964821118</v>
      </c>
      <c r="F18" s="10">
        <f t="array" aca="1" ref="F18" ca="1">TREND($D$17:$D$40,$B$17:$B$40^TRANSPOSE($B$17:OFFSET($B$16,$F$13,0)),B18^TRANSPOSE($B$17:OFFSET($B$16,$F$13,0)))</f>
        <v>2877334.7964821118</v>
      </c>
      <c r="G18" s="14">
        <f t="shared" ref="G18:G40" ca="1" si="7">D18-F18</f>
        <v>-977620.51426112326</v>
      </c>
      <c r="H18" s="1" t="str">
        <f ca="1">IF(AND(B18&gt;$H$13, B18&lt;=$B$40+$H$13   ), VLOOKUP(OFFSET(G18, -$H$13,0),$G$5:$H$8,2),"")</f>
        <v/>
      </c>
      <c r="K18" s="12">
        <f t="shared" ref="K18:N41" ca="1" si="8">IF($H18 = K$16, 1,0)</f>
        <v>0</v>
      </c>
      <c r="L18" s="12">
        <f t="shared" ca="1" si="5"/>
        <v>0</v>
      </c>
      <c r="M18" s="12">
        <f t="shared" ca="1" si="5"/>
        <v>0</v>
      </c>
      <c r="N18" s="12">
        <f t="shared" ca="1" si="5"/>
        <v>0</v>
      </c>
      <c r="R18" s="78" t="str">
        <f>H12</f>
        <v>Горизонт прогноза (лаг)</v>
      </c>
      <c r="S18" s="1">
        <v>1</v>
      </c>
      <c r="T18" s="61">
        <f t="dataTable" ref="T18:U27" dt2D="1" dtr="1" r1="G13" r2="H13" ca="1"/>
        <v>0.98438652493587642</v>
      </c>
      <c r="U18" s="62">
        <v>0.9848416842146327</v>
      </c>
    </row>
    <row r="19" spans="1:22" x14ac:dyDescent="0.25">
      <c r="A19" s="72"/>
      <c r="B19" s="1">
        <v>3</v>
      </c>
      <c r="C19" s="1" t="s">
        <v>7</v>
      </c>
      <c r="D19" s="10">
        <v>2271976.8034374709</v>
      </c>
      <c r="E19" s="10">
        <f t="shared" ca="1" si="6"/>
        <v>2925756.9678043914</v>
      </c>
      <c r="F19" s="10">
        <f t="array" aca="1" ref="F19" ca="1">TREND($D$17:$D$40,$B$17:$B$40^TRANSPOSE($B$17:OFFSET($B$16,$F$13,0)),B19^TRANSPOSE($B$17:OFFSET($B$16,$F$13,0)))</f>
        <v>2925756.9678043914</v>
      </c>
      <c r="G19" s="14">
        <f t="shared" ca="1" si="7"/>
        <v>-653780.16436692048</v>
      </c>
      <c r="H19" s="1" t="str">
        <f t="shared" ref="H19:H50" ca="1" si="9">IF(AND(B19&gt;$H$13, B19&lt;=$B$40+$H$13   ), VLOOKUP(OFFSET(G19, -$H$13,0),$G$5:$H$8,2),"")</f>
        <v/>
      </c>
      <c r="K19" s="12">
        <f t="shared" ca="1" si="8"/>
        <v>0</v>
      </c>
      <c r="L19" s="12">
        <f t="shared" ca="1" si="5"/>
        <v>0</v>
      </c>
      <c r="M19" s="12">
        <f t="shared" ca="1" si="5"/>
        <v>0</v>
      </c>
      <c r="N19" s="12">
        <f t="shared" ca="1" si="5"/>
        <v>0</v>
      </c>
      <c r="R19" s="79"/>
      <c r="S19" s="1">
        <v>2</v>
      </c>
      <c r="T19" s="63">
        <v>0.9628494779558755</v>
      </c>
      <c r="U19" s="52">
        <v>0.9646369144027287</v>
      </c>
    </row>
    <row r="20" spans="1:22" x14ac:dyDescent="0.25">
      <c r="A20" s="72"/>
      <c r="B20" s="1">
        <v>4</v>
      </c>
      <c r="C20" s="1" t="s">
        <v>8</v>
      </c>
      <c r="D20" s="10">
        <v>2745199.6299384595</v>
      </c>
      <c r="E20" s="10">
        <f t="shared" ca="1" si="6"/>
        <v>3080288.1656045206</v>
      </c>
      <c r="F20" s="10">
        <f t="array" aca="1" ref="F20" ca="1">TREND($D$17:$D$40,$B$17:$B$40^TRANSPOSE($B$17:OFFSET($B$16,$F$13,0)),B20^TRANSPOSE($B$17:OFFSET($B$16,$F$13,0)))</f>
        <v>3080288.1656045206</v>
      </c>
      <c r="G20" s="14">
        <f t="shared" ca="1" si="7"/>
        <v>-335088.5356660611</v>
      </c>
      <c r="H20" s="1" t="str">
        <f t="shared" ca="1" si="9"/>
        <v/>
      </c>
      <c r="K20" s="12">
        <f t="shared" ca="1" si="8"/>
        <v>0</v>
      </c>
      <c r="L20" s="12">
        <f t="shared" ca="1" si="5"/>
        <v>0</v>
      </c>
      <c r="M20" s="12">
        <f t="shared" ca="1" si="5"/>
        <v>0</v>
      </c>
      <c r="N20" s="12">
        <f t="shared" ca="1" si="5"/>
        <v>0</v>
      </c>
      <c r="R20" s="79"/>
      <c r="S20" s="1">
        <v>3</v>
      </c>
      <c r="T20" s="63">
        <v>0.96237838248539687</v>
      </c>
      <c r="U20" s="52">
        <v>0.95339518397017065</v>
      </c>
    </row>
    <row r="21" spans="1:22" x14ac:dyDescent="0.25">
      <c r="A21" s="72"/>
      <c r="B21" s="1">
        <v>5</v>
      </c>
      <c r="C21" s="1" t="s">
        <v>9</v>
      </c>
      <c r="D21" s="10">
        <v>3476075.5445336094</v>
      </c>
      <c r="E21" s="10">
        <f t="shared" ca="1" si="6"/>
        <v>3340928.3898824994</v>
      </c>
      <c r="F21" s="10">
        <f t="array" aca="1" ref="F21" ca="1">TREND($D$17:$D$40,$B$17:$B$40^TRANSPOSE($B$17:OFFSET($B$16,$F$13,0)),B21^TRANSPOSE($B$17:OFFSET($B$16,$F$13,0)))</f>
        <v>3340928.3898824994</v>
      </c>
      <c r="G21" s="14">
        <f t="shared" ca="1" si="7"/>
        <v>135147.15465111006</v>
      </c>
      <c r="H21" s="1" t="str">
        <f t="shared" ca="1" si="9"/>
        <v/>
      </c>
      <c r="K21" s="12">
        <f t="shared" ca="1" si="8"/>
        <v>0</v>
      </c>
      <c r="L21" s="12">
        <f t="shared" ca="1" si="5"/>
        <v>0</v>
      </c>
      <c r="M21" s="12">
        <f t="shared" ca="1" si="5"/>
        <v>0</v>
      </c>
      <c r="N21" s="12">
        <f t="shared" ca="1" si="5"/>
        <v>0</v>
      </c>
      <c r="R21" s="79"/>
      <c r="S21" s="1">
        <v>4</v>
      </c>
      <c r="T21" s="63">
        <v>0.96811442206336495</v>
      </c>
      <c r="U21" s="52">
        <v>0.95624475849538848</v>
      </c>
    </row>
    <row r="22" spans="1:22" x14ac:dyDescent="0.25">
      <c r="A22" s="72"/>
      <c r="B22" s="1">
        <v>6</v>
      </c>
      <c r="C22" s="1" t="s">
        <v>10</v>
      </c>
      <c r="D22" s="10">
        <v>4183589.0473623835</v>
      </c>
      <c r="E22" s="10">
        <f t="shared" ca="1" si="6"/>
        <v>3707677.6406383277</v>
      </c>
      <c r="F22" s="10">
        <f t="array" aca="1" ref="F22" ca="1">TREND($D$17:$D$40,$B$17:$B$40^TRANSPOSE($B$17:OFFSET($B$16,$F$13,0)),B22^TRANSPOSE($B$17:OFFSET($B$16,$F$13,0)))</f>
        <v>3707677.6406383277</v>
      </c>
      <c r="G22" s="14">
        <f t="shared" ca="1" si="7"/>
        <v>475911.40672405576</v>
      </c>
      <c r="H22" s="1" t="str">
        <f t="shared" ca="1" si="9"/>
        <v/>
      </c>
      <c r="K22" s="12">
        <f t="shared" ca="1" si="8"/>
        <v>0</v>
      </c>
      <c r="L22" s="12">
        <f t="shared" ca="1" si="5"/>
        <v>0</v>
      </c>
      <c r="M22" s="12">
        <f t="shared" ca="1" si="5"/>
        <v>0</v>
      </c>
      <c r="N22" s="12">
        <f t="shared" ca="1" si="5"/>
        <v>0</v>
      </c>
      <c r="R22" s="79"/>
      <c r="S22" s="1">
        <v>5</v>
      </c>
      <c r="T22" s="63">
        <v>0.97017256347176928</v>
      </c>
      <c r="U22" s="52">
        <v>0.96311331068010841</v>
      </c>
    </row>
    <row r="23" spans="1:22" x14ac:dyDescent="0.25">
      <c r="A23" s="72"/>
      <c r="B23" s="1">
        <v>7</v>
      </c>
      <c r="C23" s="1" t="s">
        <v>11</v>
      </c>
      <c r="D23" s="10">
        <v>5380452.4239379605</v>
      </c>
      <c r="E23" s="10">
        <f t="shared" ca="1" si="6"/>
        <v>4180535.9178720051</v>
      </c>
      <c r="F23" s="10">
        <f t="array" aca="1" ref="F23" ca="1">TREND($D$17:$D$40,$B$17:$B$40^TRANSPOSE($B$17:OFFSET($B$16,$F$13,0)),B23^TRANSPOSE($B$17:OFFSET($B$16,$F$13,0)))</f>
        <v>4180535.9178720051</v>
      </c>
      <c r="G23" s="14">
        <f t="shared" ca="1" si="7"/>
        <v>1199916.5060659554</v>
      </c>
      <c r="H23" s="1" t="str">
        <f t="shared" ca="1" si="9"/>
        <v/>
      </c>
      <c r="K23" s="12">
        <f t="shared" ca="1" si="8"/>
        <v>0</v>
      </c>
      <c r="L23" s="12">
        <f t="shared" ca="1" si="5"/>
        <v>0</v>
      </c>
      <c r="M23" s="12">
        <f t="shared" ca="1" si="5"/>
        <v>0</v>
      </c>
      <c r="N23" s="12">
        <f t="shared" ca="1" si="5"/>
        <v>0</v>
      </c>
      <c r="R23" s="79"/>
      <c r="S23" s="1">
        <v>6</v>
      </c>
      <c r="T23" s="63">
        <v>0.9707161931623175</v>
      </c>
      <c r="U23" s="52">
        <v>0.97112050634192393</v>
      </c>
    </row>
    <row r="24" spans="1:22" x14ac:dyDescent="0.25">
      <c r="A24" s="72"/>
      <c r="B24" s="1">
        <v>8</v>
      </c>
      <c r="C24" s="1" t="s">
        <v>12</v>
      </c>
      <c r="D24" s="10">
        <v>5857652.2365358304</v>
      </c>
      <c r="E24" s="10">
        <f t="shared" ca="1" si="6"/>
        <v>4759503.2215835322</v>
      </c>
      <c r="F24" s="10">
        <f t="array" aca="1" ref="F24" ca="1">TREND($D$17:$D$40,$B$17:$B$40^TRANSPOSE($B$17:OFFSET($B$16,$F$13,0)),B24^TRANSPOSE($B$17:OFFSET($B$16,$F$13,0)))</f>
        <v>4759503.2215835322</v>
      </c>
      <c r="G24" s="14">
        <f t="shared" ca="1" si="7"/>
        <v>1098149.0149522983</v>
      </c>
      <c r="H24" s="1" t="str">
        <f t="shared" ca="1" si="9"/>
        <v/>
      </c>
      <c r="K24" s="12">
        <f t="shared" ca="1" si="8"/>
        <v>0</v>
      </c>
      <c r="L24" s="12">
        <f t="shared" ca="1" si="5"/>
        <v>0</v>
      </c>
      <c r="M24" s="12">
        <f t="shared" ca="1" si="5"/>
        <v>0</v>
      </c>
      <c r="N24" s="12">
        <f t="shared" ca="1" si="5"/>
        <v>0</v>
      </c>
      <c r="R24" s="79"/>
      <c r="S24" s="1">
        <v>7</v>
      </c>
      <c r="T24" s="63">
        <v>0.97717276077557802</v>
      </c>
      <c r="U24" s="52">
        <v>0.97881627381500369</v>
      </c>
    </row>
    <row r="25" spans="1:22" x14ac:dyDescent="0.25">
      <c r="A25" s="72"/>
      <c r="B25" s="1">
        <v>9</v>
      </c>
      <c r="C25" s="1" t="s">
        <v>13</v>
      </c>
      <c r="D25" s="10">
        <v>6511019.5831007604</v>
      </c>
      <c r="E25" s="10">
        <f t="shared" ca="1" si="6"/>
        <v>6511019.5831007604</v>
      </c>
      <c r="F25" s="10">
        <f t="array" aca="1" ref="F25" ca="1">TREND($D$17:$D$40,$B$17:$B$40^TRANSPOSE($B$17:OFFSET($B$16,$F$13,0)),B25^TRANSPOSE($B$17:OFFSET($B$16,$F$13,0)))</f>
        <v>5444579.5517729092</v>
      </c>
      <c r="G25" s="14">
        <f t="shared" ca="1" si="7"/>
        <v>1066440.0313278511</v>
      </c>
      <c r="H25" s="1" t="str">
        <f t="shared" ca="1" si="9"/>
        <v>S1 - сильно хуже</v>
      </c>
      <c r="K25" s="12">
        <f t="shared" ca="1" si="8"/>
        <v>1</v>
      </c>
      <c r="L25" s="12">
        <f t="shared" ca="1" si="5"/>
        <v>0</v>
      </c>
      <c r="M25" s="12">
        <f t="shared" ca="1" si="5"/>
        <v>0</v>
      </c>
      <c r="N25" s="12">
        <f t="shared" ca="1" si="5"/>
        <v>0</v>
      </c>
      <c r="R25" s="79"/>
      <c r="S25" s="1">
        <v>8</v>
      </c>
      <c r="T25" s="63">
        <v>0.9790714117413345</v>
      </c>
      <c r="U25" s="52">
        <v>0.98376474688087534</v>
      </c>
    </row>
    <row r="26" spans="1:22" x14ac:dyDescent="0.25">
      <c r="A26" s="72"/>
      <c r="B26" s="1">
        <v>10</v>
      </c>
      <c r="C26" s="1" t="s">
        <v>14</v>
      </c>
      <c r="D26" s="10">
        <v>7448243.4494492188</v>
      </c>
      <c r="E26" s="10">
        <f t="shared" ca="1" si="6"/>
        <v>8330047.8167905267</v>
      </c>
      <c r="F26" s="10">
        <f t="array" aca="1" ref="F26" ca="1">TREND($D$17:$D$40,$B$17:$B$40^TRANSPOSE($B$17:OFFSET($B$16,$F$13,0)),B26^TRANSPOSE($B$17:OFFSET($B$16,$F$13,0)))</f>
        <v>6235764.9084401345</v>
      </c>
      <c r="G26" s="14">
        <f t="shared" ca="1" si="7"/>
        <v>1212478.5410090843</v>
      </c>
      <c r="H26" s="1" t="str">
        <f t="shared" ca="1" si="9"/>
        <v>S2 - скорее хуже</v>
      </c>
      <c r="K26" s="12">
        <f t="shared" ca="1" si="8"/>
        <v>0</v>
      </c>
      <c r="L26" s="12">
        <f t="shared" ca="1" si="5"/>
        <v>1</v>
      </c>
      <c r="M26" s="12">
        <f t="shared" ca="1" si="5"/>
        <v>0</v>
      </c>
      <c r="N26" s="12">
        <f t="shared" ca="1" si="5"/>
        <v>0</v>
      </c>
      <c r="R26" s="79"/>
      <c r="S26" s="1">
        <v>9</v>
      </c>
      <c r="T26" s="63">
        <v>0.96938707235049093</v>
      </c>
      <c r="U26" s="52">
        <v>0.97670245596332472</v>
      </c>
    </row>
    <row r="27" spans="1:22" x14ac:dyDescent="0.25">
      <c r="A27" s="72"/>
      <c r="B27" s="1">
        <v>11</v>
      </c>
      <c r="C27" s="1" t="s">
        <v>15</v>
      </c>
      <c r="D27" s="10">
        <v>8915955.3337932099</v>
      </c>
      <c r="E27" s="10">
        <f t="shared" ca="1" si="6"/>
        <v>9227342.199935602</v>
      </c>
      <c r="F27" s="10">
        <f t="array" aca="1" ref="F27" ca="1">TREND($D$17:$D$40,$B$17:$B$40^TRANSPOSE($B$17:OFFSET($B$16,$F$13,0)),B27^TRANSPOSE($B$17:OFFSET($B$16,$F$13,0)))</f>
        <v>7133059.2915852098</v>
      </c>
      <c r="G27" s="14">
        <f t="shared" ca="1" si="7"/>
        <v>1782896.0422080001</v>
      </c>
      <c r="H27" s="1" t="str">
        <f t="shared" ca="1" si="9"/>
        <v>S2 - скорее хуже</v>
      </c>
      <c r="K27" s="12">
        <f t="shared" ca="1" si="8"/>
        <v>0</v>
      </c>
      <c r="L27" s="12">
        <f t="shared" ca="1" si="5"/>
        <v>1</v>
      </c>
      <c r="M27" s="12">
        <f t="shared" ca="1" si="5"/>
        <v>0</v>
      </c>
      <c r="N27" s="12">
        <f t="shared" ca="1" si="5"/>
        <v>0</v>
      </c>
      <c r="R27" s="80"/>
      <c r="S27" s="1">
        <v>10</v>
      </c>
      <c r="T27" s="64">
        <v>0.95745485839884126</v>
      </c>
      <c r="U27" s="54">
        <v>0.96209185050296619</v>
      </c>
    </row>
    <row r="28" spans="1:22" x14ac:dyDescent="0.25">
      <c r="A28" s="72"/>
      <c r="B28" s="1">
        <v>12</v>
      </c>
      <c r="C28" s="1" t="s">
        <v>16</v>
      </c>
      <c r="D28" s="10">
        <v>10017461.84195617</v>
      </c>
      <c r="E28" s="10">
        <f t="shared" ca="1" si="6"/>
        <v>10230745.609558528</v>
      </c>
      <c r="F28" s="10">
        <f t="array" aca="1" ref="F28" ca="1">TREND($D$17:$D$40,$B$17:$B$40^TRANSPOSE($B$17:OFFSET($B$16,$F$13,0)),B28^TRANSPOSE($B$17:OFFSET($B$16,$F$13,0)))</f>
        <v>8136462.7012081351</v>
      </c>
      <c r="G28" s="14">
        <f t="shared" ca="1" si="7"/>
        <v>1880999.1407480352</v>
      </c>
      <c r="H28" s="1" t="str">
        <f t="shared" ca="1" si="9"/>
        <v>S2 - скорее хуже</v>
      </c>
      <c r="K28" s="12">
        <f t="shared" ca="1" si="8"/>
        <v>0</v>
      </c>
      <c r="L28" s="12">
        <f t="shared" ca="1" si="5"/>
        <v>1</v>
      </c>
      <c r="M28" s="12">
        <f t="shared" ca="1" si="5"/>
        <v>0</v>
      </c>
      <c r="N28" s="12">
        <f t="shared" ca="1" si="5"/>
        <v>0</v>
      </c>
    </row>
    <row r="29" spans="1:22" x14ac:dyDescent="0.25">
      <c r="A29" s="72"/>
      <c r="B29" s="1">
        <v>13</v>
      </c>
      <c r="C29" s="1" t="s">
        <v>17</v>
      </c>
      <c r="D29" s="10">
        <v>9925208.0999999996</v>
      </c>
      <c r="E29" s="10">
        <f t="shared" ca="1" si="6"/>
        <v>11340258.045659302</v>
      </c>
      <c r="F29" s="10">
        <f t="array" aca="1" ref="F29" ca="1">TREND($D$17:$D$40,$B$17:$B$40^TRANSPOSE($B$17:OFFSET($B$16,$F$13,0)),B29^TRANSPOSE($B$17:OFFSET($B$16,$F$13,0)))</f>
        <v>9245975.1373089086</v>
      </c>
      <c r="G29" s="14">
        <f t="shared" ca="1" si="7"/>
        <v>679232.962691091</v>
      </c>
      <c r="H29" s="1" t="str">
        <f t="shared" ca="1" si="9"/>
        <v>S2 - скорее хуже</v>
      </c>
      <c r="K29" s="12">
        <f t="shared" ca="1" si="8"/>
        <v>0</v>
      </c>
      <c r="L29" s="12">
        <f t="shared" ca="1" si="5"/>
        <v>1</v>
      </c>
      <c r="M29" s="12">
        <f t="shared" ca="1" si="5"/>
        <v>0</v>
      </c>
      <c r="N29" s="12">
        <f t="shared" ca="1" si="5"/>
        <v>0</v>
      </c>
    </row>
    <row r="30" spans="1:22" x14ac:dyDescent="0.25">
      <c r="A30" s="72"/>
      <c r="B30" s="1">
        <v>14</v>
      </c>
      <c r="C30" s="1" t="s">
        <v>18</v>
      </c>
      <c r="D30" s="10">
        <v>10706582.1</v>
      </c>
      <c r="E30" s="10">
        <f t="shared" ca="1" si="6"/>
        <v>9801809.3031089045</v>
      </c>
      <c r="F30" s="10">
        <f t="array" aca="1" ref="F30" ca="1">TREND($D$17:$D$40,$B$17:$B$40^TRANSPOSE($B$17:OFFSET($B$16,$F$13,0)),B30^TRANSPOSE($B$17:OFFSET($B$16,$F$13,0)))</f>
        <v>10461596.599887531</v>
      </c>
      <c r="G30" s="14">
        <f t="shared" ca="1" si="7"/>
        <v>244985.50011246838</v>
      </c>
      <c r="H30" s="1" t="str">
        <f t="shared" ca="1" si="9"/>
        <v>S3 - по тренду</v>
      </c>
      <c r="K30" s="12">
        <f t="shared" ca="1" si="8"/>
        <v>0</v>
      </c>
      <c r="L30" s="12">
        <f t="shared" ca="1" si="5"/>
        <v>0</v>
      </c>
      <c r="M30" s="12">
        <f t="shared" ca="1" si="5"/>
        <v>1</v>
      </c>
      <c r="N30" s="12">
        <f t="shared" ca="1" si="5"/>
        <v>0</v>
      </c>
    </row>
    <row r="31" spans="1:22" x14ac:dyDescent="0.25">
      <c r="A31" s="72"/>
      <c r="B31" s="1">
        <v>15</v>
      </c>
      <c r="C31" s="1" t="s">
        <v>19</v>
      </c>
      <c r="D31" s="10">
        <v>11852881.700000001</v>
      </c>
      <c r="E31" s="10">
        <f t="shared" ca="1" si="6"/>
        <v>9317206.0026272479</v>
      </c>
      <c r="F31" s="10">
        <f t="array" aca="1" ref="F31" ca="1">TREND($D$17:$D$40,$B$17:$B$40^TRANSPOSE($B$17:OFFSET($B$16,$F$13,0)),B31^TRANSPOSE($B$17:OFFSET($B$16,$F$13,0)))</f>
        <v>11783327.088944005</v>
      </c>
      <c r="G31" s="14">
        <f t="shared" ca="1" si="7"/>
        <v>69554.611055996269</v>
      </c>
      <c r="H31" s="1" t="str">
        <f t="shared" ca="1" si="9"/>
        <v>S4 - знач.лучше</v>
      </c>
      <c r="K31" s="12">
        <f t="shared" ca="1" si="8"/>
        <v>0</v>
      </c>
      <c r="L31" s="12">
        <f t="shared" ca="1" si="5"/>
        <v>0</v>
      </c>
      <c r="M31" s="12">
        <f t="shared" ca="1" si="5"/>
        <v>0</v>
      </c>
      <c r="N31" s="12">
        <f t="shared" ca="1" si="5"/>
        <v>1</v>
      </c>
    </row>
    <row r="32" spans="1:22" x14ac:dyDescent="0.25">
      <c r="A32" s="72"/>
      <c r="B32" s="1">
        <v>16</v>
      </c>
      <c r="C32" s="1" t="s">
        <v>20</v>
      </c>
      <c r="D32" s="10">
        <v>12766002.800000001</v>
      </c>
      <c r="E32" s="10">
        <f t="shared" ca="1" si="6"/>
        <v>12551379.307699701</v>
      </c>
      <c r="F32" s="10">
        <f t="array" aca="1" ref="F32" ca="1">TREND($D$17:$D$40,$B$17:$B$40^TRANSPOSE($B$17:OFFSET($B$16,$F$13,0)),B32^TRANSPOSE($B$17:OFFSET($B$16,$F$13,0)))</f>
        <v>13211166.604478328</v>
      </c>
      <c r="G32" s="14">
        <f t="shared" ca="1" si="7"/>
        <v>-445163.80447832681</v>
      </c>
      <c r="H32" s="1" t="str">
        <f t="shared" ca="1" si="9"/>
        <v>S3 - по тренду</v>
      </c>
      <c r="K32" s="12">
        <f t="shared" ca="1" si="8"/>
        <v>0</v>
      </c>
      <c r="L32" s="12">
        <f t="shared" ca="1" si="5"/>
        <v>0</v>
      </c>
      <c r="M32" s="12">
        <f t="shared" ca="1" si="5"/>
        <v>1</v>
      </c>
      <c r="N32" s="12">
        <f t="shared" ca="1" si="5"/>
        <v>0</v>
      </c>
    </row>
    <row r="33" spans="1:14" x14ac:dyDescent="0.25">
      <c r="A33" s="72"/>
      <c r="B33" s="1">
        <v>17</v>
      </c>
      <c r="C33" s="1" t="s">
        <v>21</v>
      </c>
      <c r="D33" s="10">
        <v>13515794</v>
      </c>
      <c r="E33" s="10">
        <f t="shared" ca="1" si="6"/>
        <v>14085327.849711873</v>
      </c>
      <c r="F33" s="10">
        <f t="array" aca="1" ref="F33" ca="1">TREND($D$17:$D$40,$B$17:$B$40^TRANSPOSE($B$17:OFFSET($B$16,$F$13,0)),B33^TRANSPOSE($B$17:OFFSET($B$16,$F$13,0)))</f>
        <v>14745115.146490499</v>
      </c>
      <c r="G33" s="14">
        <f t="shared" ca="1" si="7"/>
        <v>-1229321.1464904994</v>
      </c>
      <c r="H33" s="1" t="str">
        <f t="shared" ca="1" si="9"/>
        <v>S3 - по тренду</v>
      </c>
      <c r="K33" s="12">
        <f t="shared" ca="1" si="8"/>
        <v>0</v>
      </c>
      <c r="L33" s="12">
        <f t="shared" ca="1" si="8"/>
        <v>0</v>
      </c>
      <c r="M33" s="12">
        <f t="shared" ca="1" si="8"/>
        <v>1</v>
      </c>
      <c r="N33" s="12">
        <f t="shared" ca="1" si="8"/>
        <v>0</v>
      </c>
    </row>
    <row r="34" spans="1:14" x14ac:dyDescent="0.25">
      <c r="A34" s="72"/>
      <c r="B34" s="1">
        <v>18</v>
      </c>
      <c r="C34" s="1" t="s">
        <v>26</v>
      </c>
      <c r="D34" s="10">
        <v>13615271.9</v>
      </c>
      <c r="E34" s="10">
        <f t="shared" ca="1" si="6"/>
        <v>13919051.628663763</v>
      </c>
      <c r="F34" s="10">
        <f t="array" aca="1" ref="F34" ca="1">TREND($D$17:$D$40,$B$17:$B$40^TRANSPOSE($B$17:OFFSET($B$16,$F$13,0)),B34^TRANSPOSE($B$17:OFFSET($B$16,$F$13,0)))</f>
        <v>16385172.71498052</v>
      </c>
      <c r="G34" s="14">
        <f t="shared" ca="1" si="7"/>
        <v>-2769900.8149805199</v>
      </c>
      <c r="H34" s="1" t="str">
        <f t="shared" ca="1" si="9"/>
        <v>S4 - знач.лучше</v>
      </c>
      <c r="K34" s="12">
        <f t="shared" ca="1" si="8"/>
        <v>0</v>
      </c>
      <c r="L34" s="12">
        <f t="shared" ca="1" si="8"/>
        <v>0</v>
      </c>
      <c r="M34" s="12">
        <f t="shared" ca="1" si="8"/>
        <v>0</v>
      </c>
      <c r="N34" s="12">
        <f t="shared" ca="1" si="8"/>
        <v>1</v>
      </c>
    </row>
    <row r="35" spans="1:14" x14ac:dyDescent="0.25">
      <c r="A35" s="72"/>
      <c r="B35" s="1">
        <v>19</v>
      </c>
      <c r="C35" s="1" t="s">
        <v>27</v>
      </c>
      <c r="D35" s="10">
        <v>14544325.699999999</v>
      </c>
      <c r="E35" s="10">
        <f t="shared" ca="1" si="6"/>
        <v>15665218.223631635</v>
      </c>
      <c r="F35" s="10">
        <f t="array" aca="1" ref="F35" ca="1">TREND($D$17:$D$40,$B$17:$B$40^TRANSPOSE($B$17:OFFSET($B$16,$F$13,0)),B35^TRANSPOSE($B$17:OFFSET($B$16,$F$13,0)))</f>
        <v>18131339.309948392</v>
      </c>
      <c r="G35" s="14">
        <f t="shared" ca="1" si="7"/>
        <v>-3587013.609948393</v>
      </c>
      <c r="H35" s="1" t="str">
        <f t="shared" ca="1" si="9"/>
        <v>S4 - знач.лучше</v>
      </c>
      <c r="K35" s="12">
        <f t="shared" ca="1" si="8"/>
        <v>0</v>
      </c>
      <c r="L35" s="12">
        <f t="shared" ca="1" si="8"/>
        <v>0</v>
      </c>
      <c r="M35" s="12">
        <f t="shared" ca="1" si="8"/>
        <v>0</v>
      </c>
      <c r="N35" s="12">
        <f t="shared" ca="1" si="8"/>
        <v>1</v>
      </c>
    </row>
    <row r="36" spans="1:14" x14ac:dyDescent="0.25">
      <c r="A36" s="72"/>
      <c r="B36" s="1">
        <v>20</v>
      </c>
      <c r="C36" s="1" t="s">
        <v>28</v>
      </c>
      <c r="D36" s="10">
        <v>16406490.399999999</v>
      </c>
      <c r="E36" s="10">
        <f t="shared" ca="1" si="6"/>
        <v>17517493.845077354</v>
      </c>
      <c r="F36" s="10">
        <f t="array" aca="1" ref="F36" ca="1">TREND($D$17:$D$40,$B$17:$B$40^TRANSPOSE($B$17:OFFSET($B$16,$F$13,0)),B36^TRANSPOSE($B$17:OFFSET($B$16,$F$13,0)))</f>
        <v>19983614.931394111</v>
      </c>
      <c r="G36" s="14">
        <f t="shared" ca="1" si="7"/>
        <v>-3577124.5313941129</v>
      </c>
      <c r="H36" s="1" t="str">
        <f t="shared" ca="1" si="9"/>
        <v>S4 - знач.лучше</v>
      </c>
      <c r="K36" s="12">
        <f t="shared" ca="1" si="8"/>
        <v>0</v>
      </c>
      <c r="L36" s="12">
        <f t="shared" ca="1" si="8"/>
        <v>0</v>
      </c>
      <c r="M36" s="12">
        <f t="shared" ca="1" si="8"/>
        <v>0</v>
      </c>
      <c r="N36" s="12">
        <f t="shared" ca="1" si="8"/>
        <v>1</v>
      </c>
    </row>
    <row r="37" spans="1:14" x14ac:dyDescent="0.25">
      <c r="A37" s="72"/>
      <c r="B37" s="1">
        <v>21</v>
      </c>
      <c r="C37" s="1" t="s">
        <v>29</v>
      </c>
      <c r="D37" s="10">
        <v>19738622.600000001</v>
      </c>
      <c r="E37" s="10">
        <f t="shared" ca="1" si="6"/>
        <v>21282212.282539055</v>
      </c>
      <c r="F37" s="10">
        <f t="array" aca="1" ref="F37" ca="1">TREND($D$17:$D$40,$B$17:$B$40^TRANSPOSE($B$17:OFFSET($B$16,$F$13,0)),B37^TRANSPOSE($B$17:OFFSET($B$16,$F$13,0)))</f>
        <v>21941999.579317681</v>
      </c>
      <c r="G37" s="14">
        <f t="shared" ca="1" si="7"/>
        <v>-2203376.97931768</v>
      </c>
      <c r="H37" s="1" t="str">
        <f t="shared" ca="1" si="9"/>
        <v>S3 - по тренду</v>
      </c>
      <c r="K37" s="12">
        <f t="shared" ca="1" si="8"/>
        <v>0</v>
      </c>
      <c r="L37" s="12">
        <f t="shared" ca="1" si="8"/>
        <v>0</v>
      </c>
      <c r="M37" s="12">
        <f t="shared" ca="1" si="8"/>
        <v>1</v>
      </c>
      <c r="N37" s="12">
        <f t="shared" ca="1" si="8"/>
        <v>0</v>
      </c>
    </row>
    <row r="38" spans="1:14" ht="15" customHeight="1" x14ac:dyDescent="0.25">
      <c r="A38" s="72"/>
      <c r="B38" s="1">
        <v>22</v>
      </c>
      <c r="C38" s="1" t="s">
        <v>30</v>
      </c>
      <c r="D38" s="10">
        <v>24340433.200000003</v>
      </c>
      <c r="E38" s="10">
        <f t="shared" ca="1" si="6"/>
        <v>23346705.956940476</v>
      </c>
      <c r="F38" s="10">
        <f t="array" aca="1" ref="F38" ca="1">TREND($D$17:$D$40,$B$17:$B$40^TRANSPOSE($B$17:OFFSET($B$16,$F$13,0)),B38^TRANSPOSE($B$17:OFFSET($B$16,$F$13,0)))</f>
        <v>24006493.253719103</v>
      </c>
      <c r="G38" s="14">
        <f t="shared" ca="1" si="7"/>
        <v>333939.94628090039</v>
      </c>
      <c r="H38" s="1" t="str">
        <f t="shared" ca="1" si="9"/>
        <v>S3 - по тренду</v>
      </c>
      <c r="K38" s="12">
        <f t="shared" ca="1" si="8"/>
        <v>0</v>
      </c>
      <c r="L38" s="12">
        <f t="shared" ca="1" si="8"/>
        <v>0</v>
      </c>
      <c r="M38" s="12">
        <f t="shared" ca="1" si="8"/>
        <v>1</v>
      </c>
      <c r="N38" s="12">
        <f t="shared" ca="1" si="8"/>
        <v>0</v>
      </c>
    </row>
    <row r="39" spans="1:14" x14ac:dyDescent="0.25">
      <c r="A39" s="73"/>
      <c r="B39" s="1">
        <v>23</v>
      </c>
      <c r="C39" s="1" t="s">
        <v>31</v>
      </c>
      <c r="D39" s="10">
        <v>29177253.5</v>
      </c>
      <c r="E39" s="10">
        <f t="shared" ca="1" si="6"/>
        <v>28271378.86294876</v>
      </c>
      <c r="F39" s="10">
        <f t="array" aca="1" ref="F39" ca="1">TREND($D$17:$D$40,$B$17:$B$40^TRANSPOSE($B$17:OFFSET($B$16,$F$13,0)),B39^TRANSPOSE($B$17:OFFSET($B$16,$F$13,0)))</f>
        <v>26177095.954598367</v>
      </c>
      <c r="G39" s="14">
        <f t="shared" ca="1" si="7"/>
        <v>3000157.5454016328</v>
      </c>
      <c r="H39" s="1" t="str">
        <f t="shared" ca="1" si="9"/>
        <v>S2 - скорее хуже</v>
      </c>
      <c r="K39" s="12">
        <f t="shared" ca="1" si="8"/>
        <v>0</v>
      </c>
      <c r="L39" s="12">
        <f t="shared" ca="1" si="8"/>
        <v>1</v>
      </c>
      <c r="M39" s="12">
        <f t="shared" ca="1" si="8"/>
        <v>0</v>
      </c>
      <c r="N39" s="12">
        <f t="shared" ca="1" si="8"/>
        <v>0</v>
      </c>
    </row>
    <row r="40" spans="1:14" x14ac:dyDescent="0.25">
      <c r="A40" s="31"/>
      <c r="B40" s="1">
        <v>24</v>
      </c>
      <c r="C40" s="1" t="s">
        <v>32</v>
      </c>
      <c r="D40" s="10">
        <v>32463740.899999999</v>
      </c>
      <c r="E40" s="10">
        <f t="shared" ca="1" si="6"/>
        <v>30548090.59030588</v>
      </c>
      <c r="F40" s="10">
        <f t="array" aca="1" ref="F40" ca="1">TREND($D$17:$D$40,$B$17:$B$40^TRANSPOSE($B$17:OFFSET($B$16,$F$13,0)),B40^TRANSPOSE($B$17:OFFSET($B$16,$F$13,0)))</f>
        <v>28453807.681955487</v>
      </c>
      <c r="G40" s="14">
        <f t="shared" ca="1" si="7"/>
        <v>4009933.218044512</v>
      </c>
      <c r="H40" s="1" t="str">
        <f t="shared" ca="1" si="9"/>
        <v>S2 - скорее хуже</v>
      </c>
      <c r="K40" s="12">
        <f t="shared" ca="1" si="8"/>
        <v>0</v>
      </c>
      <c r="L40" s="12">
        <f t="shared" ca="1" si="8"/>
        <v>1</v>
      </c>
      <c r="M40" s="12">
        <f t="shared" ca="1" si="8"/>
        <v>0</v>
      </c>
      <c r="N40" s="12">
        <f t="shared" ca="1" si="8"/>
        <v>0</v>
      </c>
    </row>
    <row r="41" spans="1:14" x14ac:dyDescent="0.25">
      <c r="A41" s="74" t="s">
        <v>36</v>
      </c>
      <c r="B41" s="1">
        <v>25</v>
      </c>
      <c r="C41" s="1" t="s">
        <v>33</v>
      </c>
      <c r="D41" s="11"/>
      <c r="E41" s="10">
        <f t="shared" ca="1" si="6"/>
        <v>31903068.467118304</v>
      </c>
      <c r="F41" s="10">
        <f t="array" aca="1" ref="F41" ca="1">TREND($D$17:$D$40,$B$17:$B$40^TRANSPOSE($B$17:OFFSET($B$16,$F$13,0)),B41^TRANSPOSE($B$17:OFFSET($B$16,$F$13,0)))</f>
        <v>30836628.435790453</v>
      </c>
      <c r="H41" s="1" t="str">
        <f t="shared" ca="1" si="9"/>
        <v>S1 - сильно хуже</v>
      </c>
      <c r="K41" s="12">
        <f t="shared" ca="1" si="8"/>
        <v>1</v>
      </c>
      <c r="L41" s="12">
        <f t="shared" ca="1" si="8"/>
        <v>0</v>
      </c>
      <c r="M41" s="12">
        <f t="shared" ca="1" si="8"/>
        <v>0</v>
      </c>
      <c r="N41" s="12">
        <f t="shared" ca="1" si="8"/>
        <v>0</v>
      </c>
    </row>
    <row r="42" spans="1:14" ht="15" customHeight="1" x14ac:dyDescent="0.25">
      <c r="A42" s="74"/>
      <c r="B42" s="1">
        <v>26</v>
      </c>
      <c r="C42" s="1" t="s">
        <v>34</v>
      </c>
      <c r="D42" s="11"/>
      <c r="E42" s="10">
        <f t="shared" ca="1" si="6"/>
        <v>34391998.247431122</v>
      </c>
      <c r="F42" s="10">
        <f t="array" aca="1" ref="F42" ca="1">TREND($D$17:$D$40,$B$17:$B$40^TRANSPOSE($B$17:OFFSET($B$16,$F$13,0)),B42^TRANSPOSE($B$17:OFFSET($B$16,$F$13,0)))</f>
        <v>33325558.216103271</v>
      </c>
      <c r="H42" s="1" t="str">
        <f t="shared" ca="1" si="9"/>
        <v>S1 - сильно хуже</v>
      </c>
      <c r="K42" s="12">
        <f t="shared" ref="K42:N50" ca="1" si="10">IF($H42 = K$16, 1,0)</f>
        <v>1</v>
      </c>
      <c r="L42" s="12">
        <f t="shared" ca="1" si="10"/>
        <v>0</v>
      </c>
      <c r="M42" s="12">
        <f t="shared" ca="1" si="10"/>
        <v>0</v>
      </c>
      <c r="N42" s="12">
        <f t="shared" ca="1" si="10"/>
        <v>0</v>
      </c>
    </row>
    <row r="43" spans="1:14" ht="15" customHeight="1" x14ac:dyDescent="0.25">
      <c r="A43" s="74"/>
      <c r="B43" s="1">
        <v>27</v>
      </c>
      <c r="C43" s="1" t="s">
        <v>35</v>
      </c>
      <c r="D43" s="11"/>
      <c r="E43" s="10">
        <f t="shared" ca="1" si="6"/>
        <v>36987037.054221787</v>
      </c>
      <c r="F43" s="10">
        <f t="array" aca="1" ref="F43" ca="1">TREND($D$17:$D$40,$B$17:$B$40^TRANSPOSE($B$17:OFFSET($B$16,$F$13,0)),B43^TRANSPOSE($B$17:OFFSET($B$16,$F$13,0)))</f>
        <v>35920597.022893935</v>
      </c>
      <c r="H43" s="1" t="str">
        <f t="shared" ca="1" si="9"/>
        <v>S1 - сильно хуже</v>
      </c>
      <c r="K43" s="12">
        <f t="shared" ca="1" si="10"/>
        <v>1</v>
      </c>
      <c r="L43" s="12">
        <f t="shared" ca="1" si="10"/>
        <v>0</v>
      </c>
      <c r="M43" s="12">
        <f t="shared" ca="1" si="10"/>
        <v>0</v>
      </c>
      <c r="N43" s="12">
        <f t="shared" ca="1" si="10"/>
        <v>0</v>
      </c>
    </row>
    <row r="44" spans="1:14" ht="15" customHeight="1" x14ac:dyDescent="0.25">
      <c r="A44" s="74"/>
      <c r="B44" s="1">
        <v>28</v>
      </c>
      <c r="C44" s="1" t="s">
        <v>125</v>
      </c>
      <c r="D44" s="11"/>
      <c r="E44" s="10">
        <f t="shared" ca="1" si="6"/>
        <v>39688184.88749031</v>
      </c>
      <c r="F44" s="10">
        <f t="array" aca="1" ref="F44" ca="1">TREND($D$17:$D$40,$B$17:$B$40^TRANSPOSE($B$17:OFFSET($B$16,$F$13,0)),B44^TRANSPOSE($B$17:OFFSET($B$16,$F$13,0)))</f>
        <v>38621744.856162459</v>
      </c>
      <c r="H44" s="1" t="str">
        <f t="shared" ca="1" si="9"/>
        <v>S1 - сильно хуже</v>
      </c>
      <c r="K44" s="12">
        <f t="shared" ca="1" si="10"/>
        <v>1</v>
      </c>
      <c r="L44" s="12">
        <f t="shared" ca="1" si="10"/>
        <v>0</v>
      </c>
      <c r="M44" s="12">
        <f t="shared" ca="1" si="10"/>
        <v>0</v>
      </c>
      <c r="N44" s="12">
        <f t="shared" ca="1" si="10"/>
        <v>0</v>
      </c>
    </row>
    <row r="45" spans="1:14" ht="15" customHeight="1" x14ac:dyDescent="0.25">
      <c r="A45" s="74"/>
      <c r="B45" s="1">
        <v>29</v>
      </c>
      <c r="C45" s="1" t="s">
        <v>126</v>
      </c>
      <c r="D45" s="11"/>
      <c r="E45" s="10">
        <f t="shared" ca="1" si="6"/>
        <v>42495441.747236662</v>
      </c>
      <c r="F45" s="10">
        <f t="array" aca="1" ref="F45" ca="1">TREND($D$17:$D$40,$B$17:$B$40^TRANSPOSE($B$17:OFFSET($B$16,$F$13,0)),B45^TRANSPOSE($B$17:OFFSET($B$16,$F$13,0)))</f>
        <v>41429001.71590881</v>
      </c>
      <c r="H45" s="1" t="str">
        <f t="shared" ca="1" si="9"/>
        <v>S1 - сильно хуже</v>
      </c>
      <c r="K45" s="12">
        <f t="shared" ca="1" si="10"/>
        <v>1</v>
      </c>
      <c r="L45" s="12">
        <f t="shared" ca="1" si="10"/>
        <v>0</v>
      </c>
      <c r="M45" s="12">
        <f t="shared" ca="1" si="10"/>
        <v>0</v>
      </c>
      <c r="N45" s="12">
        <f t="shared" ca="1" si="10"/>
        <v>0</v>
      </c>
    </row>
    <row r="46" spans="1:14" x14ac:dyDescent="0.25">
      <c r="A46" s="74"/>
      <c r="B46" s="1">
        <v>30</v>
      </c>
      <c r="C46" s="1" t="s">
        <v>127</v>
      </c>
      <c r="D46" s="11"/>
      <c r="E46" s="10">
        <f t="shared" ca="1" si="6"/>
        <v>43682580.305354409</v>
      </c>
      <c r="F46" s="10">
        <f t="array" aca="1" ref="F46" ca="1">TREND($D$17:$D$40,$B$17:$B$40^TRANSPOSE($B$17:OFFSET($B$16,$F$13,0)),B46^TRANSPOSE($B$17:OFFSET($B$16,$F$13,0)))</f>
        <v>44342367.602133036</v>
      </c>
      <c r="H46" s="1" t="str">
        <f t="shared" ca="1" si="9"/>
        <v>S3 - по тренду</v>
      </c>
      <c r="K46" s="12">
        <f t="shared" ca="1" si="10"/>
        <v>0</v>
      </c>
      <c r="L46" s="12">
        <f t="shared" ca="1" si="10"/>
        <v>0</v>
      </c>
      <c r="M46" s="12">
        <f t="shared" ca="1" si="10"/>
        <v>1</v>
      </c>
      <c r="N46" s="12">
        <f t="shared" ca="1" si="10"/>
        <v>0</v>
      </c>
    </row>
    <row r="47" spans="1:14" x14ac:dyDescent="0.25">
      <c r="A47" s="74"/>
      <c r="B47" s="1">
        <v>31</v>
      </c>
      <c r="C47" s="1" t="s">
        <v>129</v>
      </c>
      <c r="D47" s="11"/>
      <c r="E47" s="10">
        <f t="shared" ca="1" si="6"/>
        <v>44895721.428518333</v>
      </c>
      <c r="F47" s="10">
        <f t="array" aca="1" ref="F47" ca="1">TREND($D$17:$D$40,$B$17:$B$40^TRANSPOSE($B$17:OFFSET($B$16,$F$13,0)),B47^TRANSPOSE($B$17:OFFSET($B$16,$F$13,0)))</f>
        <v>47361842.514835089</v>
      </c>
      <c r="H47" s="1" t="str">
        <f t="shared" ca="1" si="9"/>
        <v>S4 - знач.лучше</v>
      </c>
      <c r="K47" s="12">
        <f t="shared" ca="1" si="10"/>
        <v>0</v>
      </c>
      <c r="L47" s="12">
        <f t="shared" ca="1" si="10"/>
        <v>0</v>
      </c>
      <c r="M47" s="12">
        <f t="shared" ca="1" si="10"/>
        <v>0</v>
      </c>
      <c r="N47" s="12">
        <f t="shared" ca="1" si="10"/>
        <v>1</v>
      </c>
    </row>
    <row r="48" spans="1:14" x14ac:dyDescent="0.25">
      <c r="A48" s="74"/>
      <c r="B48" s="1">
        <v>32</v>
      </c>
      <c r="C48" s="1" t="s">
        <v>130</v>
      </c>
      <c r="D48" s="11"/>
      <c r="E48" s="10">
        <f t="shared" ca="1" si="6"/>
        <v>48021305.36769826</v>
      </c>
      <c r="F48" s="10">
        <f t="array" aca="1" ref="F48" ca="1">TREND($D$17:$D$40,$B$17:$B$40^TRANSPOSE($B$17:OFFSET($B$16,$F$13,0)),B48^TRANSPOSE($B$17:OFFSET($B$16,$F$13,0)))</f>
        <v>50487426.454015017</v>
      </c>
      <c r="H48" s="1" t="str">
        <f t="shared" ca="1" si="9"/>
        <v>S4 - знач.лучше</v>
      </c>
      <c r="K48" s="12">
        <f t="shared" ca="1" si="10"/>
        <v>0</v>
      </c>
      <c r="L48" s="12">
        <f t="shared" ca="1" si="10"/>
        <v>0</v>
      </c>
      <c r="M48" s="12">
        <f t="shared" ca="1" si="10"/>
        <v>0</v>
      </c>
      <c r="N48" s="12">
        <f t="shared" ca="1" si="10"/>
        <v>1</v>
      </c>
    </row>
    <row r="49" spans="1:14" x14ac:dyDescent="0.25">
      <c r="A49" s="74"/>
      <c r="B49" s="1">
        <v>33</v>
      </c>
      <c r="C49" s="1" t="s">
        <v>131</v>
      </c>
      <c r="D49" s="11"/>
      <c r="E49" s="10">
        <f t="shared" ca="1" si="6"/>
        <v>53719119.419672772</v>
      </c>
      <c r="F49" s="10">
        <f t="array" aca="1" ref="F49" ca="1">TREND($D$17:$D$40,$B$17:$B$40^TRANSPOSE($B$17:OFFSET($B$16,$F$13,0)),B49^TRANSPOSE($B$17:OFFSET($B$16,$F$13,0)))</f>
        <v>53719119.419672772</v>
      </c>
      <c r="H49" s="1" t="str">
        <f t="shared" ca="1" si="9"/>
        <v/>
      </c>
      <c r="K49" s="12">
        <f t="shared" ca="1" si="10"/>
        <v>0</v>
      </c>
      <c r="L49" s="12">
        <f t="shared" ca="1" si="10"/>
        <v>0</v>
      </c>
      <c r="M49" s="12">
        <f t="shared" ca="1" si="10"/>
        <v>0</v>
      </c>
      <c r="N49" s="12">
        <f t="shared" ca="1" si="10"/>
        <v>0</v>
      </c>
    </row>
    <row r="50" spans="1:14" x14ac:dyDescent="0.25">
      <c r="A50" s="74"/>
      <c r="B50" s="1">
        <v>34</v>
      </c>
      <c r="C50" s="1" t="s">
        <v>133</v>
      </c>
      <c r="D50" s="11"/>
      <c r="E50" s="10">
        <f t="shared" ca="1" si="6"/>
        <v>57056921.411808386</v>
      </c>
      <c r="F50" s="10">
        <f t="array" aca="1" ref="F50" ca="1">TREND($D$17:$D$40,$B$17:$B$40^TRANSPOSE($B$17:OFFSET($B$16,$F$13,0)),B50^TRANSPOSE($B$17:OFFSET($B$16,$F$13,0)))</f>
        <v>57056921.411808386</v>
      </c>
      <c r="H50" s="1" t="str">
        <f t="shared" ca="1" si="9"/>
        <v/>
      </c>
      <c r="K50" s="12">
        <f t="shared" ca="1" si="10"/>
        <v>0</v>
      </c>
      <c r="L50" s="12">
        <f t="shared" ca="1" si="10"/>
        <v>0</v>
      </c>
      <c r="M50" s="12">
        <f t="shared" ca="1" si="10"/>
        <v>0</v>
      </c>
      <c r="N50" s="12">
        <f t="shared" ca="1" si="10"/>
        <v>0</v>
      </c>
    </row>
  </sheetData>
  <mergeCells count="4">
    <mergeCell ref="T16:U16"/>
    <mergeCell ref="A17:A39"/>
    <mergeCell ref="A41:A50"/>
    <mergeCell ref="R18:R27"/>
  </mergeCells>
  <conditionalFormatting sqref="K17:N50">
    <cfRule type="colorScale" priority="2">
      <colorScale>
        <cfvo type="min"/>
        <cfvo type="max"/>
        <color rgb="FFFCFCFF"/>
        <color rgb="FF63BE7B"/>
      </colorScale>
    </cfRule>
  </conditionalFormatting>
  <conditionalFormatting sqref="T18:U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pinner 1">
              <controlPr defaultSize="0" autoPict="0">
                <anchor moveWithCells="1" sizeWithCells="1">
                  <from>
                    <xdr:col>5</xdr:col>
                    <xdr:colOff>695325</xdr:colOff>
                    <xdr:row>11</xdr:row>
                    <xdr:rowOff>257175</xdr:rowOff>
                  </from>
                  <to>
                    <xdr:col>5</xdr:col>
                    <xdr:colOff>800100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Spinner 2">
              <controlPr defaultSize="0" autoPict="0">
                <anchor moveWithCells="1" sizeWithCells="1">
                  <from>
                    <xdr:col>6</xdr:col>
                    <xdr:colOff>762000</xdr:colOff>
                    <xdr:row>11</xdr:row>
                    <xdr:rowOff>247650</xdr:rowOff>
                  </from>
                  <to>
                    <xdr:col>6</xdr:col>
                    <xdr:colOff>895350</xdr:colOff>
                    <xdr:row>13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Spinner 3">
              <controlPr defaultSize="0" autoPict="0">
                <anchor moveWithCells="1" sizeWithCells="1">
                  <from>
                    <xdr:col>7</xdr:col>
                    <xdr:colOff>1200150</xdr:colOff>
                    <xdr:row>11</xdr:row>
                    <xdr:rowOff>304800</xdr:rowOff>
                  </from>
                  <to>
                    <xdr:col>7</xdr:col>
                    <xdr:colOff>1323975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38"/>
  <sheetViews>
    <sheetView zoomScale="85" zoomScaleNormal="85" workbookViewId="0">
      <selection activeCell="X38" sqref="X38"/>
    </sheetView>
  </sheetViews>
  <sheetFormatPr defaultRowHeight="15" x14ac:dyDescent="0.25"/>
  <cols>
    <col min="1" max="1" width="3.28515625" bestFit="1" customWidth="1"/>
    <col min="2" max="2" width="5.42578125" bestFit="1" customWidth="1"/>
    <col min="3" max="4" width="13.28515625" bestFit="1" customWidth="1"/>
    <col min="5" max="5" width="12.42578125" customWidth="1"/>
    <col min="6" max="6" width="22.28515625" bestFit="1" customWidth="1"/>
    <col min="7" max="7" width="16.42578125" customWidth="1"/>
    <col min="8" max="8" width="2.42578125" customWidth="1"/>
    <col min="9" max="9" width="13.28515625" bestFit="1" customWidth="1"/>
    <col min="10" max="11" width="12" bestFit="1" customWidth="1"/>
    <col min="12" max="12" width="22.28515625" bestFit="1" customWidth="1"/>
    <col min="13" max="13" width="12.7109375" bestFit="1" customWidth="1"/>
    <col min="16" max="16" width="22.140625" customWidth="1"/>
    <col min="19" max="19" width="12.7109375" bestFit="1" customWidth="1"/>
    <col min="20" max="20" width="14.85546875" bestFit="1" customWidth="1"/>
    <col min="21" max="21" width="22.28515625" bestFit="1" customWidth="1"/>
    <col min="22" max="22" width="13.140625" bestFit="1" customWidth="1"/>
  </cols>
  <sheetData>
    <row r="2" spans="1:22" x14ac:dyDescent="0.25">
      <c r="P2" s="3" t="s">
        <v>74</v>
      </c>
    </row>
    <row r="3" spans="1:22" x14ac:dyDescent="0.25">
      <c r="P3" s="24"/>
      <c r="Q3" s="24"/>
      <c r="R3" s="24"/>
      <c r="S3" s="81" t="s">
        <v>1</v>
      </c>
      <c r="T3" s="81"/>
      <c r="U3" s="81"/>
      <c r="V3" s="81"/>
    </row>
    <row r="4" spans="1:22" x14ac:dyDescent="0.25">
      <c r="E4" s="3" t="s">
        <v>96</v>
      </c>
      <c r="K4" s="3" t="s">
        <v>96</v>
      </c>
      <c r="P4" s="81" t="s">
        <v>70</v>
      </c>
      <c r="Q4" s="82"/>
      <c r="R4" s="26"/>
      <c r="S4" s="2"/>
      <c r="T4" s="2"/>
      <c r="U4" s="2"/>
      <c r="V4" s="2"/>
    </row>
    <row r="5" spans="1:22" x14ac:dyDescent="0.25">
      <c r="E5" s="2"/>
      <c r="F5" s="2" t="s">
        <v>43</v>
      </c>
      <c r="G5" s="2" t="s">
        <v>23</v>
      </c>
      <c r="K5" s="2"/>
      <c r="L5" s="2" t="s">
        <v>43</v>
      </c>
      <c r="M5" s="2" t="s">
        <v>23</v>
      </c>
      <c r="P5" s="2" t="str">
        <f>L5</f>
        <v>ситуация</v>
      </c>
      <c r="Q5" s="23" t="str">
        <f>M5</f>
        <v>№</v>
      </c>
      <c r="R5" s="26"/>
      <c r="S5" s="2">
        <v>0</v>
      </c>
      <c r="T5" s="2">
        <v>1</v>
      </c>
      <c r="U5" s="34">
        <v>2</v>
      </c>
      <c r="V5" s="34">
        <v>3</v>
      </c>
    </row>
    <row r="6" spans="1:22" x14ac:dyDescent="0.25">
      <c r="E6" s="14">
        <f>MIN(E15:E38)</f>
        <v>-3422023.033789672</v>
      </c>
      <c r="F6" s="1" t="s">
        <v>186</v>
      </c>
      <c r="G6" s="12">
        <v>0</v>
      </c>
      <c r="K6" s="14">
        <f>MIN(K15:K38)</f>
        <v>-1077.0328133417611</v>
      </c>
      <c r="L6" s="1" t="s">
        <v>186</v>
      </c>
      <c r="M6" s="12">
        <v>0</v>
      </c>
      <c r="P6" s="1" t="s">
        <v>186</v>
      </c>
      <c r="Q6" s="23">
        <v>0</v>
      </c>
      <c r="R6" s="27"/>
      <c r="S6" s="1">
        <f>COUNTIFS($M$15:$M$38,$Q6,$G$15:$G$38,S$5)</f>
        <v>0</v>
      </c>
      <c r="T6" s="1">
        <f t="shared" ref="T6:V9" si="0">COUNTIFS($M$15:$M$38,$Q6,$G$15:$G$38,T$5)</f>
        <v>3</v>
      </c>
      <c r="U6" s="1">
        <f t="shared" si="0"/>
        <v>2</v>
      </c>
      <c r="V6" s="1">
        <f t="shared" si="0"/>
        <v>0</v>
      </c>
    </row>
    <row r="7" spans="1:22" x14ac:dyDescent="0.25">
      <c r="E7" s="14">
        <f>E6+(E10-E6)*1/4</f>
        <v>-1009174.5916485935</v>
      </c>
      <c r="F7" s="1" t="s">
        <v>187</v>
      </c>
      <c r="G7" s="12">
        <v>1</v>
      </c>
      <c r="K7" s="14">
        <f>K6+(K10-K6)*1/4</f>
        <v>-775.11789028631631</v>
      </c>
      <c r="L7" s="1" t="s">
        <v>187</v>
      </c>
      <c r="M7" s="12">
        <v>1</v>
      </c>
      <c r="P7" s="1" t="s">
        <v>187</v>
      </c>
      <c r="Q7" s="23">
        <v>1</v>
      </c>
      <c r="R7" s="27"/>
      <c r="S7" s="1">
        <f t="shared" ref="S7:S9" si="1">COUNTIFS($M$15:$M$38,$Q7,$G$15:$G$38,S$5)</f>
        <v>0</v>
      </c>
      <c r="T7" s="1">
        <f t="shared" si="0"/>
        <v>3</v>
      </c>
      <c r="U7" s="1">
        <f t="shared" si="0"/>
        <v>4</v>
      </c>
      <c r="V7" s="1">
        <f t="shared" si="0"/>
        <v>0</v>
      </c>
    </row>
    <row r="8" spans="1:22" x14ac:dyDescent="0.25">
      <c r="E8" s="14">
        <f>MEDIAN(E15:E38)</f>
        <v>54656.697710140841</v>
      </c>
      <c r="F8" s="1" t="s">
        <v>188</v>
      </c>
      <c r="G8" s="12">
        <v>2</v>
      </c>
      <c r="K8" s="14">
        <f>MEDIAN(K15:K38)</f>
        <v>-494.26873498771806</v>
      </c>
      <c r="L8" s="1" t="s">
        <v>188</v>
      </c>
      <c r="M8" s="12">
        <v>2</v>
      </c>
      <c r="P8" s="1" t="s">
        <v>188</v>
      </c>
      <c r="Q8" s="35">
        <v>2</v>
      </c>
      <c r="R8" s="27"/>
      <c r="S8" s="1">
        <f t="shared" si="1"/>
        <v>0</v>
      </c>
      <c r="T8" s="1">
        <f t="shared" si="0"/>
        <v>0</v>
      </c>
      <c r="U8" s="1">
        <f t="shared" si="0"/>
        <v>2</v>
      </c>
      <c r="V8" s="1">
        <f t="shared" si="0"/>
        <v>0</v>
      </c>
    </row>
    <row r="9" spans="1:22" x14ac:dyDescent="0.25">
      <c r="E9" s="14">
        <f>E8+(E10-E6)*1/4</f>
        <v>2467505.139851219</v>
      </c>
      <c r="F9" s="1" t="s">
        <v>189</v>
      </c>
      <c r="G9" s="12">
        <v>3</v>
      </c>
      <c r="K9" s="14">
        <f>K8+(K10-K6)*1/4</f>
        <v>-192.35381193227329</v>
      </c>
      <c r="L9" s="1" t="s">
        <v>189</v>
      </c>
      <c r="M9" s="12">
        <v>3</v>
      </c>
      <c r="P9" s="1" t="s">
        <v>189</v>
      </c>
      <c r="Q9" s="35">
        <v>3</v>
      </c>
      <c r="R9" s="27"/>
      <c r="S9" s="1">
        <f t="shared" si="1"/>
        <v>5</v>
      </c>
      <c r="T9" s="1">
        <f t="shared" si="0"/>
        <v>0</v>
      </c>
      <c r="U9" s="1">
        <f t="shared" si="0"/>
        <v>2</v>
      </c>
      <c r="V9" s="1">
        <f t="shared" si="0"/>
        <v>1</v>
      </c>
    </row>
    <row r="10" spans="1:22" x14ac:dyDescent="0.25">
      <c r="E10" s="14">
        <f>MAX(E15:E38)</f>
        <v>6229370.7347746417</v>
      </c>
      <c r="F10" s="1"/>
      <c r="G10" s="12">
        <v>4</v>
      </c>
      <c r="K10" s="14">
        <f>MAX(K15:K38)</f>
        <v>130.62687888001801</v>
      </c>
      <c r="L10" s="1"/>
      <c r="M10" s="12">
        <v>4</v>
      </c>
    </row>
    <row r="13" spans="1:22" x14ac:dyDescent="0.25">
      <c r="A13" s="2" t="s">
        <v>0</v>
      </c>
      <c r="F13" s="81" t="s">
        <v>1</v>
      </c>
      <c r="G13" s="81"/>
      <c r="L13" s="81" t="s">
        <v>22</v>
      </c>
      <c r="M13" s="81"/>
    </row>
    <row r="14" spans="1:22" s="22" customFormat="1" x14ac:dyDescent="0.25">
      <c r="A14" s="7" t="s">
        <v>23</v>
      </c>
      <c r="B14" s="7" t="s">
        <v>4</v>
      </c>
      <c r="C14" s="8" t="s">
        <v>155</v>
      </c>
      <c r="D14" s="8" t="s">
        <v>48</v>
      </c>
      <c r="E14" s="8" t="s">
        <v>40</v>
      </c>
      <c r="F14" s="8" t="s">
        <v>94</v>
      </c>
      <c r="G14" s="8" t="s">
        <v>95</v>
      </c>
      <c r="I14" s="8" t="s">
        <v>185</v>
      </c>
      <c r="J14" s="8" t="s">
        <v>48</v>
      </c>
      <c r="K14" s="8" t="s">
        <v>40</v>
      </c>
      <c r="L14" s="8" t="s">
        <v>94</v>
      </c>
      <c r="M14" s="8" t="s">
        <v>95</v>
      </c>
    </row>
    <row r="15" spans="1:22" ht="15" customHeight="1" x14ac:dyDescent="0.25">
      <c r="A15" s="1">
        <v>1</v>
      </c>
      <c r="B15" s="6" t="s">
        <v>5</v>
      </c>
      <c r="C15" s="10">
        <v>1523670.1312683504</v>
      </c>
      <c r="D15" s="10">
        <v>891869.81511473912</v>
      </c>
      <c r="E15" s="14">
        <f>C15-D15</f>
        <v>631800.31615361129</v>
      </c>
      <c r="F15" s="1" t="str">
        <f>VLOOKUP(E15,$E$6:$F$10,2,TRUE)</f>
        <v>скорее выше среднего</v>
      </c>
      <c r="G15" s="12">
        <f>VLOOKUP(F15,$F$6:$G$10,2,FALSE)</f>
        <v>2</v>
      </c>
      <c r="I15" s="9">
        <v>3013.1797778016089</v>
      </c>
      <c r="J15" s="10">
        <v>3158.9076865608245</v>
      </c>
      <c r="K15" s="14">
        <f>I15-J15</f>
        <v>-145.72790875921555</v>
      </c>
      <c r="L15" s="1" t="str">
        <f>VLOOKUP(K15,$K$6:$L$10,2,TRUE)</f>
        <v>сильно выше</v>
      </c>
      <c r="M15" s="12">
        <f>VLOOKUP(L15,$L$6:$M$10,2,FALSE)</f>
        <v>3</v>
      </c>
      <c r="P15" s="3" t="s">
        <v>75</v>
      </c>
    </row>
    <row r="16" spans="1:22" x14ac:dyDescent="0.25">
      <c r="A16" s="1">
        <v>2</v>
      </c>
      <c r="B16" s="1" t="s">
        <v>6</v>
      </c>
      <c r="C16" s="10">
        <v>1899714.2822209885</v>
      </c>
      <c r="D16" s="10">
        <v>1463084.8104772549</v>
      </c>
      <c r="E16" s="14">
        <f t="shared" ref="E16:E38" si="2">C16-D16</f>
        <v>436629.47174373362</v>
      </c>
      <c r="F16" s="1" t="str">
        <f t="shared" ref="F16:F38" si="3">VLOOKUP(E16,$E$6:$F$10,2,TRUE)</f>
        <v>скорее выше среднего</v>
      </c>
      <c r="G16" s="12">
        <f t="shared" ref="G16:G38" si="4">VLOOKUP(F16,$F$6:$G$10,2,FALSE)</f>
        <v>2</v>
      </c>
      <c r="I16" s="10">
        <v>3063.7503642895449</v>
      </c>
      <c r="J16" s="10">
        <v>3501.5888530838429</v>
      </c>
      <c r="K16" s="14">
        <f t="shared" ref="K16:K38" si="5">I16-J16</f>
        <v>-437.83848879429797</v>
      </c>
      <c r="L16" s="1" t="str">
        <f t="shared" ref="L16:L38" si="6">VLOOKUP(K16,$K$6:$L$10,2,TRUE)</f>
        <v>скорее выше среднего</v>
      </c>
      <c r="M16" s="12">
        <f t="shared" ref="M16:M38" si="7">VLOOKUP(L16,$L$6:$M$10,2,FALSE)</f>
        <v>2</v>
      </c>
      <c r="P16" s="24"/>
      <c r="Q16" s="24"/>
      <c r="R16" s="2" t="s">
        <v>72</v>
      </c>
      <c r="S16" s="81" t="s">
        <v>1</v>
      </c>
      <c r="T16" s="81"/>
      <c r="U16" s="81"/>
      <c r="V16" s="81"/>
    </row>
    <row r="17" spans="1:24" x14ac:dyDescent="0.25">
      <c r="A17" s="1">
        <v>3</v>
      </c>
      <c r="B17" s="1" t="s">
        <v>7</v>
      </c>
      <c r="C17" s="10">
        <v>2271976.8034374709</v>
      </c>
      <c r="D17" s="10">
        <v>2068779.5910416998</v>
      </c>
      <c r="E17" s="14">
        <f t="shared" si="2"/>
        <v>203197.21239577117</v>
      </c>
      <c r="F17" s="1" t="str">
        <f t="shared" si="3"/>
        <v>скорее выше среднего</v>
      </c>
      <c r="G17" s="12">
        <f t="shared" si="4"/>
        <v>2</v>
      </c>
      <c r="I17" s="10">
        <v>3114.3209507774804</v>
      </c>
      <c r="J17" s="10">
        <v>3702.0444852031906</v>
      </c>
      <c r="K17" s="14">
        <f t="shared" si="5"/>
        <v>-587.72353442571011</v>
      </c>
      <c r="L17" s="1" t="str">
        <f t="shared" si="6"/>
        <v>ниже среднего</v>
      </c>
      <c r="M17" s="12">
        <f t="shared" si="7"/>
        <v>1</v>
      </c>
      <c r="P17" s="81" t="s">
        <v>70</v>
      </c>
      <c r="Q17" s="82"/>
      <c r="R17" s="23" t="s">
        <v>71</v>
      </c>
      <c r="S17" s="2"/>
      <c r="T17" s="2"/>
      <c r="U17" s="2"/>
      <c r="V17" s="2"/>
    </row>
    <row r="18" spans="1:24" x14ac:dyDescent="0.25">
      <c r="A18" s="1">
        <v>4</v>
      </c>
      <c r="B18" s="1" t="s">
        <v>8</v>
      </c>
      <c r="C18" s="10">
        <v>2745199.6299384595</v>
      </c>
      <c r="D18" s="10">
        <v>2710540.5421868879</v>
      </c>
      <c r="E18" s="14">
        <f t="shared" si="2"/>
        <v>34659.087751571555</v>
      </c>
      <c r="F18" s="1" t="str">
        <f t="shared" si="3"/>
        <v>ниже среднего</v>
      </c>
      <c r="G18" s="12">
        <f t="shared" si="4"/>
        <v>1</v>
      </c>
      <c r="I18" s="10">
        <v>3164.8915372654155</v>
      </c>
      <c r="J18" s="10">
        <v>3844.2700196068608</v>
      </c>
      <c r="K18" s="14">
        <f t="shared" si="5"/>
        <v>-679.37848234144531</v>
      </c>
      <c r="L18" s="1" t="str">
        <f t="shared" si="6"/>
        <v>ниже среднего</v>
      </c>
      <c r="M18" s="12">
        <f t="shared" si="7"/>
        <v>1</v>
      </c>
      <c r="P18" s="2" t="str">
        <f>P5</f>
        <v>ситуация</v>
      </c>
      <c r="Q18" s="2" t="str">
        <f>Q5</f>
        <v>№</v>
      </c>
      <c r="R18" s="23"/>
      <c r="S18" s="34">
        <v>0</v>
      </c>
      <c r="T18" s="34">
        <v>1</v>
      </c>
      <c r="U18" s="34">
        <v>2</v>
      </c>
      <c r="V18" s="34">
        <v>3</v>
      </c>
    </row>
    <row r="19" spans="1:24" x14ac:dyDescent="0.25">
      <c r="A19" s="1">
        <v>5</v>
      </c>
      <c r="B19" s="1" t="s">
        <v>9</v>
      </c>
      <c r="C19" s="10">
        <v>3476075.5445336094</v>
      </c>
      <c r="D19" s="10">
        <v>3390019.1952395183</v>
      </c>
      <c r="E19" s="14">
        <f t="shared" si="2"/>
        <v>86056.349294091109</v>
      </c>
      <c r="F19" s="1" t="str">
        <f t="shared" si="3"/>
        <v>скорее выше среднего</v>
      </c>
      <c r="G19" s="12">
        <f t="shared" si="4"/>
        <v>2</v>
      </c>
      <c r="I19" s="10">
        <v>3262.6488048257374</v>
      </c>
      <c r="J19" s="10">
        <v>3954.588714699395</v>
      </c>
      <c r="K19" s="14">
        <f t="shared" si="5"/>
        <v>-691.9399098736576</v>
      </c>
      <c r="L19" s="1" t="str">
        <f t="shared" si="6"/>
        <v>ниже среднего</v>
      </c>
      <c r="M19" s="12">
        <f t="shared" si="7"/>
        <v>1</v>
      </c>
      <c r="P19" s="1" t="s">
        <v>186</v>
      </c>
      <c r="Q19" s="35">
        <v>0</v>
      </c>
      <c r="R19" s="25">
        <v>2</v>
      </c>
      <c r="S19" s="1">
        <f>IF($R19=S$18,0,1)</f>
        <v>1</v>
      </c>
      <c r="T19" s="1">
        <f t="shared" ref="T19:V22" si="8">IF($R19=T$18,0,1)</f>
        <v>1</v>
      </c>
      <c r="U19" s="1">
        <f t="shared" si="8"/>
        <v>0</v>
      </c>
      <c r="V19" s="1">
        <f t="shared" si="8"/>
        <v>1</v>
      </c>
      <c r="X19" s="1" t="s">
        <v>188</v>
      </c>
    </row>
    <row r="20" spans="1:24" x14ac:dyDescent="0.25">
      <c r="A20" s="1">
        <v>6</v>
      </c>
      <c r="B20" s="1" t="s">
        <v>10</v>
      </c>
      <c r="C20" s="10">
        <v>4183589.0473623835</v>
      </c>
      <c r="D20" s="10">
        <v>4108934.7396936733</v>
      </c>
      <c r="E20" s="14">
        <f t="shared" si="2"/>
        <v>74654.307668710127</v>
      </c>
      <c r="F20" s="1" t="str">
        <f t="shared" si="3"/>
        <v>скорее выше среднего</v>
      </c>
      <c r="G20" s="12">
        <f t="shared" si="4"/>
        <v>2</v>
      </c>
      <c r="I20" s="10">
        <v>3415.8645222520108</v>
      </c>
      <c r="J20" s="10">
        <v>4044.7256517262085</v>
      </c>
      <c r="K20" s="14">
        <f t="shared" si="5"/>
        <v>-628.8611294741977</v>
      </c>
      <c r="L20" s="1" t="str">
        <f t="shared" si="6"/>
        <v>ниже среднего</v>
      </c>
      <c r="M20" s="12">
        <f t="shared" si="7"/>
        <v>1</v>
      </c>
      <c r="P20" s="1" t="s">
        <v>187</v>
      </c>
      <c r="Q20" s="35">
        <v>1</v>
      </c>
      <c r="R20" s="25">
        <v>1</v>
      </c>
      <c r="S20" s="1">
        <f t="shared" ref="S20:S22" si="9">IF($R20=S$18,0,1)</f>
        <v>1</v>
      </c>
      <c r="T20" s="1">
        <f t="shared" si="8"/>
        <v>0</v>
      </c>
      <c r="U20" s="1">
        <f t="shared" si="8"/>
        <v>1</v>
      </c>
      <c r="V20" s="1">
        <f t="shared" si="8"/>
        <v>1</v>
      </c>
      <c r="X20" s="1" t="s">
        <v>187</v>
      </c>
    </row>
    <row r="21" spans="1:24" x14ac:dyDescent="0.25">
      <c r="A21" s="1">
        <v>7</v>
      </c>
      <c r="B21" s="1" t="s">
        <v>11</v>
      </c>
      <c r="C21" s="10">
        <v>5380452.4239379605</v>
      </c>
      <c r="D21" s="10">
        <v>4869076.6285112211</v>
      </c>
      <c r="E21" s="14">
        <f t="shared" si="2"/>
        <v>511375.79542673938</v>
      </c>
      <c r="F21" s="1" t="str">
        <f t="shared" si="3"/>
        <v>скорее выше среднего</v>
      </c>
      <c r="G21" s="12">
        <f t="shared" si="4"/>
        <v>2</v>
      </c>
      <c r="I21" s="10">
        <v>3564.3803710455763</v>
      </c>
      <c r="J21" s="10">
        <v>4120.9353460956609</v>
      </c>
      <c r="K21" s="14">
        <f t="shared" si="5"/>
        <v>-556.55497505008452</v>
      </c>
      <c r="L21" s="1" t="str">
        <f t="shared" si="6"/>
        <v>ниже среднего</v>
      </c>
      <c r="M21" s="12">
        <f t="shared" si="7"/>
        <v>1</v>
      </c>
      <c r="P21" s="1" t="s">
        <v>188</v>
      </c>
      <c r="Q21" s="35">
        <v>2</v>
      </c>
      <c r="R21" s="25">
        <v>1</v>
      </c>
      <c r="S21" s="1">
        <f t="shared" si="9"/>
        <v>1</v>
      </c>
      <c r="T21" s="1">
        <f t="shared" si="8"/>
        <v>0</v>
      </c>
      <c r="U21" s="1">
        <f t="shared" si="8"/>
        <v>1</v>
      </c>
      <c r="V21" s="1">
        <f t="shared" si="8"/>
        <v>1</v>
      </c>
      <c r="X21" s="1" t="s">
        <v>187</v>
      </c>
    </row>
    <row r="22" spans="1:24" x14ac:dyDescent="0.25">
      <c r="A22" s="1">
        <v>8</v>
      </c>
      <c r="B22" s="1" t="s">
        <v>12</v>
      </c>
      <c r="C22" s="10">
        <v>5857652.2365358304</v>
      </c>
      <c r="D22" s="10">
        <v>5672307.2798576858</v>
      </c>
      <c r="E22" s="14">
        <f t="shared" si="2"/>
        <v>185344.95667814463</v>
      </c>
      <c r="F22" s="1" t="str">
        <f t="shared" si="3"/>
        <v>скорее выше среднего</v>
      </c>
      <c r="G22" s="12">
        <f t="shared" si="4"/>
        <v>2</v>
      </c>
      <c r="I22" s="10">
        <v>3721.2849999999999</v>
      </c>
      <c r="J22" s="10">
        <v>4186.9511861298797</v>
      </c>
      <c r="K22" s="14">
        <f t="shared" si="5"/>
        <v>-465.66618612987986</v>
      </c>
      <c r="L22" s="1" t="str">
        <f t="shared" si="6"/>
        <v>скорее выше среднего</v>
      </c>
      <c r="M22" s="12">
        <f t="shared" si="7"/>
        <v>2</v>
      </c>
      <c r="P22" s="1" t="s">
        <v>189</v>
      </c>
      <c r="Q22" s="35">
        <v>3</v>
      </c>
      <c r="R22" s="25">
        <v>0</v>
      </c>
      <c r="S22" s="1">
        <f t="shared" si="9"/>
        <v>0</v>
      </c>
      <c r="T22" s="1">
        <f t="shared" si="8"/>
        <v>1</v>
      </c>
      <c r="U22" s="1">
        <f t="shared" si="8"/>
        <v>1</v>
      </c>
      <c r="V22" s="1">
        <f t="shared" si="8"/>
        <v>1</v>
      </c>
      <c r="X22" s="1" t="s">
        <v>186</v>
      </c>
    </row>
    <row r="23" spans="1:24" x14ac:dyDescent="0.25">
      <c r="A23" s="1">
        <v>9</v>
      </c>
      <c r="B23" s="1" t="s">
        <v>13</v>
      </c>
      <c r="C23" s="10">
        <v>6511019.5831007604</v>
      </c>
      <c r="D23" s="10">
        <v>6520564.8787466129</v>
      </c>
      <c r="E23" s="14">
        <f t="shared" si="2"/>
        <v>-9545.2956458525732</v>
      </c>
      <c r="F23" s="1" t="str">
        <f t="shared" si="3"/>
        <v>ниже среднего</v>
      </c>
      <c r="G23" s="12">
        <f t="shared" si="4"/>
        <v>1</v>
      </c>
      <c r="I23" s="10">
        <v>3722.31</v>
      </c>
      <c r="J23" s="10">
        <v>4245.1812838455562</v>
      </c>
      <c r="K23" s="14">
        <f t="shared" si="5"/>
        <v>-522.87128384555626</v>
      </c>
      <c r="L23" s="1" t="str">
        <f t="shared" si="6"/>
        <v>ниже среднего</v>
      </c>
      <c r="M23" s="12">
        <f t="shared" si="7"/>
        <v>1</v>
      </c>
    </row>
    <row r="24" spans="1:24" x14ac:dyDescent="0.25">
      <c r="A24" s="1">
        <v>10</v>
      </c>
      <c r="B24" s="1" t="s">
        <v>14</v>
      </c>
      <c r="C24" s="10">
        <v>7448243.4494492188</v>
      </c>
      <c r="D24" s="10">
        <v>7415866.2821880588</v>
      </c>
      <c r="E24" s="14">
        <f t="shared" si="2"/>
        <v>32377.167261159979</v>
      </c>
      <c r="F24" s="1" t="str">
        <f t="shared" si="3"/>
        <v>ниже среднего</v>
      </c>
      <c r="G24" s="12">
        <f t="shared" si="4"/>
        <v>1</v>
      </c>
      <c r="I24" s="10">
        <v>3588.8969999999999</v>
      </c>
      <c r="J24" s="10">
        <v>4297.2698812224135</v>
      </c>
      <c r="K24" s="14">
        <f t="shared" si="5"/>
        <v>-708.37288122241353</v>
      </c>
      <c r="L24" s="1" t="str">
        <f t="shared" si="6"/>
        <v>ниже среднего</v>
      </c>
      <c r="M24" s="12">
        <f t="shared" si="7"/>
        <v>1</v>
      </c>
      <c r="Q24" s="4" t="s">
        <v>76</v>
      </c>
      <c r="R24" s="19">
        <f>SUMPRODUCT(S6:V9,S19:V22)</f>
        <v>12</v>
      </c>
    </row>
    <row r="25" spans="1:24" x14ac:dyDescent="0.25">
      <c r="A25" s="1">
        <v>11</v>
      </c>
      <c r="B25" s="1" t="s">
        <v>15</v>
      </c>
      <c r="C25" s="10">
        <v>8915955.3337932099</v>
      </c>
      <c r="D25" s="10">
        <v>8360310.0315636313</v>
      </c>
      <c r="E25" s="14">
        <f t="shared" si="2"/>
        <v>555645.30222957861</v>
      </c>
      <c r="F25" s="1" t="str">
        <f t="shared" si="3"/>
        <v>скорее выше среднего</v>
      </c>
      <c r="G25" s="12">
        <f t="shared" si="4"/>
        <v>2</v>
      </c>
      <c r="I25" s="10">
        <v>3517.73</v>
      </c>
      <c r="J25" s="10">
        <v>4344.3897491420666</v>
      </c>
      <c r="K25" s="14">
        <f t="shared" si="5"/>
        <v>-826.65974914206663</v>
      </c>
      <c r="L25" s="1" t="str">
        <f t="shared" si="6"/>
        <v>сильно ниже</v>
      </c>
      <c r="M25" s="12">
        <f t="shared" si="7"/>
        <v>0</v>
      </c>
    </row>
    <row r="26" spans="1:24" x14ac:dyDescent="0.25">
      <c r="A26" s="1">
        <v>12</v>
      </c>
      <c r="B26" s="1" t="s">
        <v>16</v>
      </c>
      <c r="C26" s="10">
        <v>10017461.84195617</v>
      </c>
      <c r="D26" s="10">
        <v>9356079.4760818202</v>
      </c>
      <c r="E26" s="14">
        <f t="shared" si="2"/>
        <v>661382.36587435007</v>
      </c>
      <c r="F26" s="1" t="str">
        <f t="shared" si="3"/>
        <v>скорее выше среднего</v>
      </c>
      <c r="G26" s="12">
        <f t="shared" si="4"/>
        <v>2</v>
      </c>
      <c r="I26" s="10">
        <v>3511.3829999999998</v>
      </c>
      <c r="J26" s="10">
        <v>4387.4068182492265</v>
      </c>
      <c r="K26" s="14">
        <f t="shared" si="5"/>
        <v>-876.02381824922668</v>
      </c>
      <c r="L26" s="1" t="str">
        <f t="shared" si="6"/>
        <v>сильно ниже</v>
      </c>
      <c r="M26" s="12">
        <f t="shared" si="7"/>
        <v>0</v>
      </c>
    </row>
    <row r="27" spans="1:24" x14ac:dyDescent="0.25">
      <c r="A27" s="1">
        <v>13</v>
      </c>
      <c r="B27" s="1" t="s">
        <v>17</v>
      </c>
      <c r="C27" s="10">
        <v>9925208.0999999996</v>
      </c>
      <c r="D27" s="10">
        <v>10405446.011303117</v>
      </c>
      <c r="E27" s="14">
        <f t="shared" si="2"/>
        <v>-480237.91130311787</v>
      </c>
      <c r="F27" s="1" t="str">
        <f t="shared" si="3"/>
        <v>ниже среднего</v>
      </c>
      <c r="G27" s="12">
        <f t="shared" si="4"/>
        <v>1</v>
      </c>
      <c r="I27" s="10">
        <v>3511.895</v>
      </c>
      <c r="J27" s="10">
        <v>4426.978685821523</v>
      </c>
      <c r="K27" s="14">
        <f t="shared" si="5"/>
        <v>-915.08368582152298</v>
      </c>
      <c r="L27" s="1" t="str">
        <f t="shared" si="6"/>
        <v>сильно ниже</v>
      </c>
      <c r="M27" s="12">
        <f t="shared" si="7"/>
        <v>0</v>
      </c>
      <c r="P27" s="3" t="s">
        <v>73</v>
      </c>
    </row>
    <row r="28" spans="1:24" x14ac:dyDescent="0.25">
      <c r="A28" s="1">
        <v>14</v>
      </c>
      <c r="B28" s="1" t="s">
        <v>18</v>
      </c>
      <c r="C28" s="10">
        <v>10706582.1</v>
      </c>
      <c r="D28" s="10">
        <v>11510772.436864944</v>
      </c>
      <c r="E28" s="14">
        <f t="shared" si="2"/>
        <v>-804190.33686494455</v>
      </c>
      <c r="F28" s="1" t="str">
        <f t="shared" si="3"/>
        <v>ниже среднего</v>
      </c>
      <c r="G28" s="12">
        <f t="shared" si="4"/>
        <v>1</v>
      </c>
      <c r="I28" s="10">
        <v>3506.1019999999999</v>
      </c>
      <c r="J28" s="10">
        <v>4463.6165126186797</v>
      </c>
      <c r="K28" s="14">
        <f t="shared" si="5"/>
        <v>-957.51451261867987</v>
      </c>
      <c r="L28" s="1" t="str">
        <f t="shared" si="6"/>
        <v>сильно ниже</v>
      </c>
      <c r="M28" s="12">
        <f t="shared" si="7"/>
        <v>0</v>
      </c>
      <c r="P28" s="24"/>
      <c r="Q28" s="24"/>
      <c r="R28" s="2" t="s">
        <v>72</v>
      </c>
      <c r="S28" s="81" t="s">
        <v>1</v>
      </c>
      <c r="T28" s="81"/>
      <c r="U28" s="81"/>
      <c r="V28" s="81"/>
    </row>
    <row r="29" spans="1:24" x14ac:dyDescent="0.25">
      <c r="A29" s="1">
        <v>15</v>
      </c>
      <c r="B29" s="1" t="s">
        <v>19</v>
      </c>
      <c r="C29" s="10">
        <v>11852881.700000001</v>
      </c>
      <c r="D29" s="10">
        <v>12674516.437681872</v>
      </c>
      <c r="E29" s="14">
        <f t="shared" si="2"/>
        <v>-821634.73768187128</v>
      </c>
      <c r="F29" s="1" t="str">
        <f t="shared" si="3"/>
        <v>ниже среднего</v>
      </c>
      <c r="G29" s="12">
        <f t="shared" si="4"/>
        <v>1</v>
      </c>
      <c r="I29" s="10">
        <v>3420.6927000000001</v>
      </c>
      <c r="J29" s="10">
        <v>4497.7255133417611</v>
      </c>
      <c r="K29" s="14">
        <f t="shared" si="5"/>
        <v>-1077.0328133417611</v>
      </c>
      <c r="L29" s="1" t="str">
        <f t="shared" si="6"/>
        <v>сильно ниже</v>
      </c>
      <c r="M29" s="12">
        <f t="shared" si="7"/>
        <v>0</v>
      </c>
      <c r="P29" s="81" t="s">
        <v>70</v>
      </c>
      <c r="Q29" s="82"/>
      <c r="R29" s="23" t="s">
        <v>71</v>
      </c>
      <c r="S29" s="2"/>
      <c r="T29" s="2"/>
      <c r="U29" s="2"/>
      <c r="V29" s="2"/>
    </row>
    <row r="30" spans="1:24" x14ac:dyDescent="0.25">
      <c r="A30" s="1">
        <v>16</v>
      </c>
      <c r="B30" s="1" t="s">
        <v>20</v>
      </c>
      <c r="C30" s="10">
        <v>12766002.800000001</v>
      </c>
      <c r="D30" s="10">
        <v>13899234.193046965</v>
      </c>
      <c r="E30" s="14">
        <f t="shared" si="2"/>
        <v>-1133231.393046964</v>
      </c>
      <c r="F30" s="1" t="str">
        <f t="shared" si="3"/>
        <v>сильно ниже</v>
      </c>
      <c r="G30" s="12">
        <f t="shared" si="4"/>
        <v>0</v>
      </c>
      <c r="I30" s="10">
        <v>4608.7519299999994</v>
      </c>
      <c r="J30" s="10">
        <v>4529.6323526528977</v>
      </c>
      <c r="K30" s="14">
        <f t="shared" si="5"/>
        <v>79.119577347101767</v>
      </c>
      <c r="L30" s="1" t="str">
        <f t="shared" si="6"/>
        <v>сильно выше</v>
      </c>
      <c r="M30" s="12">
        <f t="shared" si="7"/>
        <v>3</v>
      </c>
      <c r="P30" s="2" t="str">
        <f>P5</f>
        <v>ситуация</v>
      </c>
      <c r="Q30" s="2" t="str">
        <f>Q5</f>
        <v>№</v>
      </c>
      <c r="R30" s="23"/>
      <c r="S30" s="34">
        <v>0</v>
      </c>
      <c r="T30" s="34">
        <v>1</v>
      </c>
      <c r="U30" s="34">
        <v>2</v>
      </c>
      <c r="V30" s="34">
        <v>3</v>
      </c>
    </row>
    <row r="31" spans="1:24" x14ac:dyDescent="0.25">
      <c r="A31" s="1">
        <v>17</v>
      </c>
      <c r="B31" s="1" t="s">
        <v>21</v>
      </c>
      <c r="C31" s="10">
        <v>13515794</v>
      </c>
      <c r="D31" s="10">
        <v>15187584.118215792</v>
      </c>
      <c r="E31" s="14">
        <f t="shared" si="2"/>
        <v>-1671790.1182157919</v>
      </c>
      <c r="F31" s="1" t="str">
        <f t="shared" si="3"/>
        <v>сильно ниже</v>
      </c>
      <c r="G31" s="12">
        <f t="shared" si="4"/>
        <v>0</v>
      </c>
      <c r="I31" s="10">
        <v>4690.2311</v>
      </c>
      <c r="J31" s="10">
        <v>4559.604221119982</v>
      </c>
      <c r="K31" s="14">
        <f t="shared" si="5"/>
        <v>130.62687888001801</v>
      </c>
      <c r="L31" s="1">
        <f t="shared" si="6"/>
        <v>0</v>
      </c>
      <c r="M31" s="12">
        <v>4</v>
      </c>
      <c r="P31" s="1" t="s">
        <v>186</v>
      </c>
      <c r="Q31" s="35">
        <v>0</v>
      </c>
      <c r="R31" s="25">
        <v>2</v>
      </c>
      <c r="S31" s="1">
        <f>($R31-S$30)^2</f>
        <v>4</v>
      </c>
      <c r="T31" s="1">
        <f t="shared" ref="T31:V34" si="10">($R31-T$30)^2</f>
        <v>1</v>
      </c>
      <c r="U31" s="1">
        <f t="shared" si="10"/>
        <v>0</v>
      </c>
      <c r="V31" s="1">
        <f t="shared" si="10"/>
        <v>1</v>
      </c>
      <c r="X31" s="1" t="s">
        <v>188</v>
      </c>
    </row>
    <row r="32" spans="1:24" x14ac:dyDescent="0.25">
      <c r="A32" s="1">
        <v>18</v>
      </c>
      <c r="B32" s="1" t="s">
        <v>26</v>
      </c>
      <c r="C32" s="10">
        <v>13615271.9</v>
      </c>
      <c r="D32" s="10">
        <v>16542330.743215716</v>
      </c>
      <c r="E32" s="14">
        <f t="shared" si="2"/>
        <v>-2927058.8432157151</v>
      </c>
      <c r="F32" s="1" t="str">
        <f t="shared" si="3"/>
        <v>сильно ниже</v>
      </c>
      <c r="G32" s="12">
        <f t="shared" si="4"/>
        <v>0</v>
      </c>
      <c r="I32" s="10">
        <v>4692.8642</v>
      </c>
      <c r="J32" s="10">
        <v>4587.8624503685751</v>
      </c>
      <c r="K32" s="14">
        <f t="shared" si="5"/>
        <v>105.0017496314249</v>
      </c>
      <c r="L32" s="1" t="str">
        <f t="shared" si="6"/>
        <v>сильно выше</v>
      </c>
      <c r="M32" s="12">
        <f t="shared" si="7"/>
        <v>3</v>
      </c>
      <c r="P32" s="1" t="s">
        <v>187</v>
      </c>
      <c r="Q32" s="35">
        <v>1</v>
      </c>
      <c r="R32" s="25">
        <v>2</v>
      </c>
      <c r="S32" s="1">
        <f t="shared" ref="S32:S34" si="11">($R32-S$30)^2</f>
        <v>4</v>
      </c>
      <c r="T32" s="1">
        <f t="shared" si="10"/>
        <v>1</v>
      </c>
      <c r="U32" s="1">
        <f t="shared" si="10"/>
        <v>0</v>
      </c>
      <c r="V32" s="1">
        <f t="shared" si="10"/>
        <v>1</v>
      </c>
      <c r="X32" s="1" t="s">
        <v>188</v>
      </c>
    </row>
    <row r="33" spans="1:24" x14ac:dyDescent="0.25">
      <c r="A33" s="1">
        <v>19</v>
      </c>
      <c r="B33" s="1" t="s">
        <v>27</v>
      </c>
      <c r="C33" s="10">
        <v>14544325.699999999</v>
      </c>
      <c r="D33" s="10">
        <v>17966348.733789671</v>
      </c>
      <c r="E33" s="14">
        <f t="shared" si="2"/>
        <v>-3422023.033789672</v>
      </c>
      <c r="F33" s="1" t="str">
        <f t="shared" si="3"/>
        <v>сильно ниже</v>
      </c>
      <c r="G33" s="12">
        <f t="shared" si="4"/>
        <v>0</v>
      </c>
      <c r="I33" s="10">
        <v>4732.6019299999998</v>
      </c>
      <c r="J33" s="10">
        <v>4614.5924421728969</v>
      </c>
      <c r="K33" s="14">
        <f t="shared" si="5"/>
        <v>118.00948782710293</v>
      </c>
      <c r="L33" s="1" t="str">
        <f t="shared" si="6"/>
        <v>сильно выше</v>
      </c>
      <c r="M33" s="12">
        <f t="shared" si="7"/>
        <v>3</v>
      </c>
      <c r="P33" s="1" t="s">
        <v>188</v>
      </c>
      <c r="Q33" s="35">
        <v>2</v>
      </c>
      <c r="R33" s="25">
        <v>1</v>
      </c>
      <c r="S33" s="1">
        <f t="shared" si="11"/>
        <v>1</v>
      </c>
      <c r="T33" s="1">
        <f t="shared" si="10"/>
        <v>0</v>
      </c>
      <c r="U33" s="1">
        <f t="shared" si="10"/>
        <v>1</v>
      </c>
      <c r="V33" s="1">
        <f t="shared" si="10"/>
        <v>4</v>
      </c>
      <c r="X33" s="1" t="s">
        <v>187</v>
      </c>
    </row>
    <row r="34" spans="1:24" x14ac:dyDescent="0.25">
      <c r="A34" s="1">
        <v>20</v>
      </c>
      <c r="B34" s="1" t="s">
        <v>28</v>
      </c>
      <c r="C34" s="10">
        <v>16406490.399999999</v>
      </c>
      <c r="D34" s="10">
        <v>19462627.059556011</v>
      </c>
      <c r="E34" s="14">
        <f t="shared" si="2"/>
        <v>-3056136.6595560126</v>
      </c>
      <c r="F34" s="1" t="str">
        <f t="shared" si="3"/>
        <v>сильно ниже</v>
      </c>
      <c r="G34" s="12">
        <f t="shared" si="4"/>
        <v>0</v>
      </c>
      <c r="I34" s="10">
        <v>4651.6728800000001</v>
      </c>
      <c r="J34" s="10">
        <v>4639.9510477454314</v>
      </c>
      <c r="K34" s="14">
        <f t="shared" si="5"/>
        <v>11.721832254568653</v>
      </c>
      <c r="L34" s="1" t="str">
        <f t="shared" si="6"/>
        <v>сильно выше</v>
      </c>
      <c r="M34" s="12">
        <f t="shared" si="7"/>
        <v>3</v>
      </c>
      <c r="P34" s="1" t="s">
        <v>189</v>
      </c>
      <c r="Q34" s="35">
        <v>3</v>
      </c>
      <c r="R34" s="25">
        <v>1</v>
      </c>
      <c r="S34" s="1">
        <f t="shared" si="11"/>
        <v>1</v>
      </c>
      <c r="T34" s="1">
        <f t="shared" si="10"/>
        <v>0</v>
      </c>
      <c r="U34" s="1">
        <f t="shared" si="10"/>
        <v>1</v>
      </c>
      <c r="V34" s="1">
        <f t="shared" si="10"/>
        <v>4</v>
      </c>
      <c r="X34" s="1" t="s">
        <v>187</v>
      </c>
    </row>
    <row r="35" spans="1:24" x14ac:dyDescent="0.25">
      <c r="A35" s="1">
        <v>21</v>
      </c>
      <c r="B35" s="1" t="s">
        <v>29</v>
      </c>
      <c r="C35" s="10">
        <v>19738622.600000001</v>
      </c>
      <c r="D35" s="10">
        <v>21034273.314644471</v>
      </c>
      <c r="E35" s="14">
        <f t="shared" si="2"/>
        <v>-1295650.7146444693</v>
      </c>
      <c r="F35" s="1" t="str">
        <f t="shared" si="3"/>
        <v>сильно ниже</v>
      </c>
      <c r="G35" s="12">
        <f t="shared" si="4"/>
        <v>0</v>
      </c>
      <c r="I35" s="10">
        <v>4634.6379999999999</v>
      </c>
      <c r="J35" s="10">
        <v>4664.0721447380274</v>
      </c>
      <c r="K35" s="14">
        <f t="shared" si="5"/>
        <v>-29.434144738027499</v>
      </c>
      <c r="L35" s="1" t="str">
        <f t="shared" si="6"/>
        <v>сильно выше</v>
      </c>
      <c r="M35" s="12">
        <f t="shared" si="7"/>
        <v>3</v>
      </c>
    </row>
    <row r="36" spans="1:24" x14ac:dyDescent="0.25">
      <c r="A36" s="1">
        <v>22</v>
      </c>
      <c r="B36" s="1" t="s">
        <v>30</v>
      </c>
      <c r="C36" s="10">
        <v>24340433.200000003</v>
      </c>
      <c r="D36" s="10">
        <v>22684518.196252804</v>
      </c>
      <c r="E36" s="14">
        <f t="shared" si="2"/>
        <v>1655915.0037471987</v>
      </c>
      <c r="F36" s="1" t="str">
        <f t="shared" si="3"/>
        <v>скорее выше среднего</v>
      </c>
      <c r="G36" s="12">
        <f t="shared" si="4"/>
        <v>2</v>
      </c>
      <c r="I36" s="10">
        <v>4624.0249999999996</v>
      </c>
      <c r="J36" s="10">
        <v>4687.0709156650846</v>
      </c>
      <c r="K36" s="14">
        <f t="shared" si="5"/>
        <v>-63.045915665084976</v>
      </c>
      <c r="L36" s="1" t="str">
        <f t="shared" si="6"/>
        <v>сильно выше</v>
      </c>
      <c r="M36" s="12">
        <f t="shared" si="7"/>
        <v>3</v>
      </c>
      <c r="Q36" s="4" t="s">
        <v>77</v>
      </c>
      <c r="R36" s="19">
        <f>SUMPRODUCT(S6:V9,S31:V34)</f>
        <v>19</v>
      </c>
    </row>
    <row r="37" spans="1:24" x14ac:dyDescent="0.25">
      <c r="A37" s="1">
        <v>23</v>
      </c>
      <c r="B37" s="1" t="s">
        <v>31</v>
      </c>
      <c r="C37" s="10">
        <v>29177253.5</v>
      </c>
      <c r="D37" s="10">
        <v>24416720.146759458</v>
      </c>
      <c r="E37" s="14">
        <f t="shared" si="2"/>
        <v>4760533.3532405421</v>
      </c>
      <c r="F37" s="1" t="str">
        <f t="shared" si="3"/>
        <v>сильно выше</v>
      </c>
      <c r="G37" s="12">
        <f t="shared" si="4"/>
        <v>3</v>
      </c>
      <c r="I37" s="10">
        <v>4571.1329999999998</v>
      </c>
      <c r="J37" s="10">
        <v>4709.0471745015875</v>
      </c>
      <c r="K37" s="14">
        <f t="shared" si="5"/>
        <v>-137.91417450158769</v>
      </c>
      <c r="L37" s="1" t="str">
        <f t="shared" si="6"/>
        <v>сильно выше</v>
      </c>
      <c r="M37" s="12">
        <f t="shared" si="7"/>
        <v>3</v>
      </c>
    </row>
    <row r="38" spans="1:24" x14ac:dyDescent="0.25">
      <c r="A38" s="32">
        <v>24</v>
      </c>
      <c r="B38" s="1" t="s">
        <v>32</v>
      </c>
      <c r="C38" s="10">
        <v>32463740.899999999</v>
      </c>
      <c r="D38" s="10">
        <v>26234370.165225357</v>
      </c>
      <c r="E38" s="14">
        <f t="shared" si="2"/>
        <v>6229370.7347746417</v>
      </c>
      <c r="F38" s="1">
        <f>VLOOKUP(E38,$E$6:$F$10,2,TRUE)</f>
        <v>0</v>
      </c>
      <c r="G38" s="12">
        <v>4</v>
      </c>
      <c r="I38" s="11">
        <v>4559.604221119982</v>
      </c>
      <c r="J38" s="10">
        <v>4730.0879847722454</v>
      </c>
      <c r="K38" s="14">
        <f t="shared" si="5"/>
        <v>-170.48376365226341</v>
      </c>
      <c r="L38" s="1" t="str">
        <f t="shared" si="6"/>
        <v>сильно выше</v>
      </c>
      <c r="M38" s="12">
        <f t="shared" si="7"/>
        <v>3</v>
      </c>
    </row>
  </sheetData>
  <mergeCells count="8">
    <mergeCell ref="P29:Q29"/>
    <mergeCell ref="F13:G13"/>
    <mergeCell ref="L13:M13"/>
    <mergeCell ref="P4:Q4"/>
    <mergeCell ref="S3:V3"/>
    <mergeCell ref="S16:V16"/>
    <mergeCell ref="P17:Q17"/>
    <mergeCell ref="S28:V28"/>
  </mergeCells>
  <conditionalFormatting sqref="S19:V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1:V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6"/>
  <sheetViews>
    <sheetView tabSelected="1" zoomScale="80" zoomScaleNormal="80" workbookViewId="0">
      <selection sqref="A1:A3"/>
    </sheetView>
  </sheetViews>
  <sheetFormatPr defaultRowHeight="15" x14ac:dyDescent="0.25"/>
  <cols>
    <col min="1" max="16384" width="9.140625" style="21"/>
  </cols>
  <sheetData>
    <row r="1" spans="1:1" x14ac:dyDescent="0.25">
      <c r="A1" s="83">
        <v>1</v>
      </c>
    </row>
    <row r="2" spans="1:1" x14ac:dyDescent="0.25">
      <c r="A2" s="84"/>
    </row>
    <row r="3" spans="1:1" x14ac:dyDescent="0.25">
      <c r="A3" s="85"/>
    </row>
    <row r="43" spans="1:1" x14ac:dyDescent="0.25">
      <c r="A43" s="83">
        <v>2</v>
      </c>
    </row>
    <row r="44" spans="1:1" x14ac:dyDescent="0.25">
      <c r="A44" s="84"/>
    </row>
    <row r="45" spans="1:1" x14ac:dyDescent="0.25">
      <c r="A45" s="85"/>
    </row>
    <row r="84" spans="1:1" x14ac:dyDescent="0.25">
      <c r="A84" s="83">
        <v>3</v>
      </c>
    </row>
    <row r="85" spans="1:1" x14ac:dyDescent="0.25">
      <c r="A85" s="84"/>
    </row>
    <row r="86" spans="1:1" x14ac:dyDescent="0.25">
      <c r="A86" s="85"/>
    </row>
  </sheetData>
  <mergeCells count="3">
    <mergeCell ref="A1:A3"/>
    <mergeCell ref="A43:A45"/>
    <mergeCell ref="A84:A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</vt:lpstr>
      <vt:lpstr>Лист1</vt:lpstr>
      <vt:lpstr>Fiction</vt:lpstr>
      <vt:lpstr>Прогноз</vt:lpstr>
      <vt:lpstr>Байес</vt:lpstr>
      <vt:lpstr>Рисунки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HokoriDynasty</cp:lastModifiedBy>
  <dcterms:created xsi:type="dcterms:W3CDTF">2020-03-17T19:37:15Z</dcterms:created>
  <dcterms:modified xsi:type="dcterms:W3CDTF">2026-03-22T15:44:53Z</dcterms:modified>
</cp:coreProperties>
</file>